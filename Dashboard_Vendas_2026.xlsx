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ia-me" sheetId="2" state="visible" r:id="rId4"/>
    <sheet name="Base_Vendas" sheetId="3" state="visible" r:id="rId5"/>
    <sheet name="Apoio" sheetId="4" state="visible" r:id="rId6"/>
  </sheets>
  <definedNames>
    <definedName function="false" hidden="false" localSheetId="2" name="_xlnm.Print_Titles" vbProcedure="false">Base_Vendas!$1:$1</definedName>
    <definedName function="false" hidden="true" localSheetId="2" name="_xlnm._FilterDatabase" vbProcedure="false">Base_Vendas!$A$1:$N$241</definedName>
    <definedName function="false" hidden="false" localSheetId="0" name="_xlnm.Print_Area" vbProcedure="false">Dashboard!$A$1:$K$47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<sst xmlns="http://schemas.openxmlformats.org/spreadsheetml/2006/main" count="1397" uniqueCount="163">
  <si>
    <t xml:space="preserve">Desempenho comercial  |  Vendas do 1º semestre de 2026</t>
  </si>
  <si>
    <t xml:space="preserve">Base fictícia de 240 pedidos (jan a jun/2026)  |  Projeto acadêmico  |  Autor: Kelton Almeida</t>
  </si>
  <si>
    <t xml:space="preserve">REGIÃO</t>
  </si>
  <si>
    <t xml:space="preserve">CATEGORIA</t>
  </si>
  <si>
    <t xml:space="preserve">CANAL</t>
  </si>
  <si>
    <t xml:space="preserve">Todos</t>
  </si>
  <si>
    <t xml:space="preserve">&lt;- Escolha uma opção nos três filtros (caixas com borda azul).</t>
  </si>
  <si>
    <t xml:space="preserve">RECEITA TOTAL</t>
  </si>
  <si>
    <t xml:space="preserve">LUCRO TOTAL</t>
  </si>
  <si>
    <t xml:space="preserve">MARGEM (LUCRO / RECEITA)</t>
  </si>
  <si>
    <t xml:space="preserve">PEDIDOS</t>
  </si>
  <si>
    <t xml:space="preserve">TICKET MÉDIO</t>
  </si>
  <si>
    <t xml:space="preserve">MELHOR MÊS</t>
  </si>
  <si>
    <t xml:space="preserve">REGIÃO LÍDER</t>
  </si>
  <si>
    <t xml:space="preserve">MAIOR MARGEM</t>
  </si>
  <si>
    <t xml:space="preserve">PRODUTO LÍDER</t>
  </si>
  <si>
    <t xml:space="preserve">CANAL LÍDER</t>
  </si>
  <si>
    <t xml:space="preserve">Notas: (1) Os gráficos de região, categoria e canal não aplicam o próprio filtro, para permitir a comparação entre as opções.</t>
  </si>
  <si>
    <t xml:space="preserve">(2) Margem = lucro / receita (margem bruta, sem impostos, frete ou despesas).</t>
  </si>
  <si>
    <t xml:space="preserve">(3) Dados fictícios, sem informações pessoais; veja a aba Leia-me.</t>
  </si>
  <si>
    <t xml:space="preserve">Dashboard comercial | Vendas 1º semestre de 2026</t>
  </si>
  <si>
    <t xml:space="preserve">Documentação do projeto</t>
  </si>
  <si>
    <t xml:space="preserve">1. Sobre o projeto</t>
  </si>
  <si>
    <t xml:space="preserve">Autor</t>
  </si>
  <si>
    <t xml:space="preserve">Kelton Almeida</t>
  </si>
  <si>
    <t xml:space="preserve">Disciplina / professor</t>
  </si>
  <si>
    <t xml:space="preserve">[preencher]</t>
  </si>
  <si>
    <t xml:space="preserve">Objetivo</t>
  </si>
  <si>
    <t xml:space="preserve">Acompanhar o desempenho de vendas de uma loja fictícia (receita, lucro, margem e pedidos) e permitir a comparação por região, categoria, canal, produto e mês.</t>
  </si>
  <si>
    <t xml:space="preserve">Perguntas respondidas</t>
  </si>
  <si>
    <t xml:space="preserve">Quais meses, regiões e produtos mais vendem? Quais categorias dão mais margem? Como cada canal contribui para a receita?</t>
  </si>
  <si>
    <t xml:space="preserve">2. Dados</t>
  </si>
  <si>
    <t xml:space="preserve">Origem</t>
  </si>
  <si>
    <t xml:space="preserve">Base fictícia criada para fins didáticos. Não há clientes, lojas ou pessoas reais representados.</t>
  </si>
  <si>
    <t xml:space="preserve">Período e tamanho</t>
  </si>
  <si>
    <t xml:space="preserve">240 pedidos entre 01/01/2026 e 30/06/2026. Cada linha da aba Base_Vendas é um pedido com um único produto.</t>
  </si>
  <si>
    <t xml:space="preserve">Tratamento aplicado</t>
  </si>
  <si>
    <t xml:space="preserve">Receita, custo total, lucro e mês agora são fórmulas na própria base (antes eram valores fixos), então qualquer correção na quantidade ou no preço atualiza tudo.</t>
  </si>
  <si>
    <t xml:space="preserve">3. Proteção de dados pessoais (LGPD, Lei 13.709/2018)</t>
  </si>
  <si>
    <t xml:space="preserve">Minimização (art. 6º, III)</t>
  </si>
  <si>
    <t xml:space="preserve">A base não possui nome de cliente, CPF, e-mail, telefone ou endereço. Só entram os dados necessários para a análise comercial.</t>
  </si>
  <si>
    <t xml:space="preserve">Pseudonimização (art. 13, § 4º)</t>
  </si>
  <si>
    <t xml:space="preserve">Os nomes dos vendedores da versão anterior foram trocados por códigos (V01 a V06). A tabela de correspondência entre nome e código não foi mantida no arquivo.</t>
  </si>
  <si>
    <t xml:space="preserve">Sem avaliação individual</t>
  </si>
  <si>
    <t xml:space="preserve">O dashboard não ranqueia vendedores. Desempenho por pessoa seria um tratamento com mais risco e não é necessário para o objetivo do projeto.</t>
  </si>
  <si>
    <t xml:space="preserve">Se for usar dados reais</t>
  </si>
  <si>
    <t xml:space="preserve">Antes de publicar ou compartilhar, remova ou anonimize identificadores, defina a finalidade e a base legal do tratamento e restrinja o acesso ao arquivo.</t>
  </si>
  <si>
    <t xml:space="preserve">4. Como usar</t>
  </si>
  <si>
    <t xml:space="preserve">Filtros</t>
  </si>
  <si>
    <t xml:space="preserve">Na aba Dashboard, escolha Região, Categoria e Canal nos menus (células com borda azul). Todos os indicadores e gráficos se atualizam.</t>
  </si>
  <si>
    <t xml:space="preserve">Gráficos comparativos</t>
  </si>
  <si>
    <t xml:space="preserve">Os gráficos de região, categoria e canal ignoram o próprio filtro, para que a comparação entre as opções continue visível.</t>
  </si>
  <si>
    <t xml:space="preserve">Abas</t>
  </si>
  <si>
    <t xml:space="preserve">Dashboard (visão final) | Leia-me (esta página) | Base_Vendas (dados) | Apoio (tabelas de cálculo e conferências automáticas).</t>
  </si>
  <si>
    <t xml:space="preserve">5. Definição dos indicadores</t>
  </si>
  <si>
    <t xml:space="preserve">Receita</t>
  </si>
  <si>
    <t xml:space="preserve">Quantidade × preço unitário.</t>
  </si>
  <si>
    <t xml:space="preserve">Custo total</t>
  </si>
  <si>
    <t xml:space="preserve">Quantidade × custo unitário.</t>
  </si>
  <si>
    <t xml:space="preserve">Lucro</t>
  </si>
  <si>
    <t xml:space="preserve">Receita − custo total.</t>
  </si>
  <si>
    <t xml:space="preserve">Margem</t>
  </si>
  <si>
    <t xml:space="preserve">Lucro ÷ receita (margem bruta).</t>
  </si>
  <si>
    <t xml:space="preserve">Pedidos</t>
  </si>
  <si>
    <t xml:space="preserve">Número de linhas da base que atendem aos filtros.</t>
  </si>
  <si>
    <t xml:space="preserve">Ticket médio</t>
  </si>
  <si>
    <t xml:space="preserve">Receita ÷ número de pedidos.</t>
  </si>
  <si>
    <t xml:space="preserve">6. Dicionário de dados (aba Base_Vendas)</t>
  </si>
  <si>
    <t xml:space="preserve">Pedido</t>
  </si>
  <si>
    <t xml:space="preserve">Número do pedido (único).</t>
  </si>
  <si>
    <t xml:space="preserve">Data</t>
  </si>
  <si>
    <t xml:space="preserve">Data da venda.</t>
  </si>
  <si>
    <t xml:space="preserve">Região</t>
  </si>
  <si>
    <t xml:space="preserve">Nordeste, Sudeste, Sul ou Centro-Oeste.</t>
  </si>
  <si>
    <t xml:space="preserve">Categoria / Produto</t>
  </si>
  <si>
    <t xml:space="preserve">4 categorias e 12 produtos; cada produto pertence a uma única categoria.</t>
  </si>
  <si>
    <t xml:space="preserve">Vendedor</t>
  </si>
  <si>
    <t xml:space="preserve">Código pseudonimizado (V01 a V06).</t>
  </si>
  <si>
    <t xml:space="preserve">Canal</t>
  </si>
  <si>
    <t xml:space="preserve">Loja Online, Marketplace ou Loja Física.</t>
  </si>
  <si>
    <t xml:space="preserve">Quantidade, Preço e Custo unitário</t>
  </si>
  <si>
    <t xml:space="preserve">Valores informados (cabeçalho azul-escuro). Preço e custo são fixos por produto.</t>
  </si>
  <si>
    <t xml:space="preserve">Receita, Custo Total, Lucro, Mês Nº</t>
  </si>
  <si>
    <t xml:space="preserve">Calculados por fórmula (cabeçalho cinza).</t>
  </si>
  <si>
    <t xml:space="preserve">7. Limitações</t>
  </si>
  <si>
    <t xml:space="preserve">Base pequena e fictícia</t>
  </si>
  <si>
    <t xml:space="preserve">Seis meses de dados simulados: os padrões observados não representam um negócio real nem permitem conclusões de sazonalidade.</t>
  </si>
  <si>
    <t xml:space="preserve">Margem bruta</t>
  </si>
  <si>
    <t xml:space="preserve">Não considera impostos, frete, comissões, devoluções ou despesas fixas.</t>
  </si>
  <si>
    <t xml:space="preserve">Validação</t>
  </si>
  <si>
    <t xml:space="preserve">A aba Apoio compara os KPIs com a soma dos meses e mostra OK ou DIVERGÊNCIA.</t>
  </si>
  <si>
    <t xml:space="preserve">Categoria</t>
  </si>
  <si>
    <t xml:space="preserve">Produto</t>
  </si>
  <si>
    <t xml:space="preserve">Quantidade</t>
  </si>
  <si>
    <t xml:space="preserve">Preço Unitário</t>
  </si>
  <si>
    <t xml:space="preserve">Custo Unitário</t>
  </si>
  <si>
    <t xml:space="preserve">Custo Total</t>
  </si>
  <si>
    <t xml:space="preserve">Mês Nº</t>
  </si>
  <si>
    <t xml:space="preserve">Nordeste</t>
  </si>
  <si>
    <t xml:space="preserve">Esporte</t>
  </si>
  <si>
    <t xml:space="preserve">Garrafa Térmica</t>
  </si>
  <si>
    <t xml:space="preserve">V02</t>
  </si>
  <si>
    <t xml:space="preserve">Marketplace</t>
  </si>
  <si>
    <t xml:space="preserve">Sul</t>
  </si>
  <si>
    <t xml:space="preserve">Eletrônicos</t>
  </si>
  <si>
    <t xml:space="preserve">Mouse Wireless</t>
  </si>
  <si>
    <t xml:space="preserve">V05</t>
  </si>
  <si>
    <t xml:space="preserve">Loja Online</t>
  </si>
  <si>
    <t xml:space="preserve">V01</t>
  </si>
  <si>
    <t xml:space="preserve">Sudeste</t>
  </si>
  <si>
    <t xml:space="preserve">Acessórios</t>
  </si>
  <si>
    <t xml:space="preserve">Carregador Rápido</t>
  </si>
  <si>
    <t xml:space="preserve">Kit Elástico</t>
  </si>
  <si>
    <t xml:space="preserve">Loja Física</t>
  </si>
  <si>
    <t xml:space="preserve">Cabo USB-C</t>
  </si>
  <si>
    <t xml:space="preserve">V04</t>
  </si>
  <si>
    <t xml:space="preserve">Teclado Mecânico</t>
  </si>
  <si>
    <t xml:space="preserve">V03</t>
  </si>
  <si>
    <t xml:space="preserve">Mochila Esportiva</t>
  </si>
  <si>
    <t xml:space="preserve">Suporte Notebook</t>
  </si>
  <si>
    <t xml:space="preserve">Fone Bluetooth</t>
  </si>
  <si>
    <t xml:space="preserve">Casa</t>
  </si>
  <si>
    <t xml:space="preserve">Cafeteira</t>
  </si>
  <si>
    <t xml:space="preserve">V06</t>
  </si>
  <si>
    <t xml:space="preserve">Centro-Oeste</t>
  </si>
  <si>
    <t xml:space="preserve">Organizador</t>
  </si>
  <si>
    <t xml:space="preserve">Luminária LED</t>
  </si>
  <si>
    <t xml:space="preserve">Apoio | tabelas de cálculo que alimentam o Dashboard</t>
  </si>
  <si>
    <t xml:space="preserve">Não é necessário editar esta aba. Tudo é recalculado a partir da Base_Vendas e dos filtros do Dashboard.</t>
  </si>
  <si>
    <t xml:space="preserve">Critérios dos filtros ("*" = todos)</t>
  </si>
  <si>
    <t xml:space="preserve">Evolução mensal (aplica os três filtros)</t>
  </si>
  <si>
    <t xml:space="preserve">Mês</t>
  </si>
  <si>
    <t xml:space="preserve">Nº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</si>
  <si>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</si>
  <si>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</si>
  <si>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</si>
  <si>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</si>
  <si>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</si>
  <si>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</si>
  <si>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Receita por região (ignora o filtro de Região)</t>
  </si>
  <si>
    <t xml:space="preserve">Margem por categoria (ignora o filtro de Categoria)</t>
  </si>
  <si>
    <t xml:space="preserve">Receita por canal (ignora o filtro de Canal)</t>
  </si>
  <si>
    <t xml:space="preserve">Receita por produto (aplica os três filtros)</t>
  </si>
  <si>
    <t xml:space="preserve">Chave de desempate</t>
  </si>
  <si>
    <t xml:space="preserve">Top 5 produtos por receita</t>
  </si>
  <si>
    <t xml:space="preserve">Posição</t>
  </si>
  <si>
    <t xml:space="preserve">Destaques do período</t>
  </si>
  <si>
    <t xml:space="preserve">Indicador</t>
  </si>
  <si>
    <t xml:space="preserve">Resultado</t>
  </si>
  <si>
    <t xml:space="preserve">Valor</t>
  </si>
  <si>
    <t xml:space="preserve">Mês de maior receita</t>
  </si>
  <si>
    <t xml:space="preserve">Região líder em receita</t>
  </si>
  <si>
    <t xml:space="preserve">Categoria de maior margem</t>
  </si>
  <si>
    <t xml:space="preserve">Produto de maior receita</t>
  </si>
  <si>
    <t xml:space="preserve">Canal líder em receita</t>
  </si>
  <si>
    <t xml:space="preserve">Conferências automáticas</t>
  </si>
  <si>
    <t xml:space="preserve">Teste</t>
  </si>
  <si>
    <t xml:space="preserve">Dashboard</t>
  </si>
  <si>
    <t xml:space="preserve">Apoio</t>
  </si>
  <si>
    <t xml:space="preserve">Status</t>
  </si>
  <si>
    <t xml:space="preserve">Receita (KPI x soma dos meses)</t>
  </si>
  <si>
    <t xml:space="preserve">Lucro (KPI x soma dos meses)</t>
  </si>
  <si>
    <t xml:space="preserve">Pedidos (KPI x soma dos meses)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</si>
</sst>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R$ &quot;#,##0"/>
    <numFmt numFmtId="166" formatCode="0.0%"/>
    <numFmt numFmtId="167" formatCode="#,##0"/>
    <numFmt numFmtId="168" formatCode="&quot;R$ &quot;#,##0.00"/>
    <numFmt numFmtId="169" formatCode="0.0%&quot; do total geral&quot;"/>
    <numFmt numFmtId="170" formatCode="&quot;Margem geral: &quot;0.0%"/>
    <numFmt numFmtId="171" formatCode="&quot;Ticket geral: R$ &quot;#,##0.00"/>
    <numFmt numFmtId="172" formatCode="&quot;Margem: &quot;0.0%"/>
    <numFmt numFmtId="173" formatCode="0%"/>
    <numFmt numFmtId="174" formatCode="dd/mm/yyyy"/>
    <numFmt numFmtId="175" formatCode="0.000000"/>
    <numFmt numFmtId="176" formatCode="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1"/>
      <color rgb="FF1F2937"/>
      <name val="Arial"/>
      <family val="2"/>
    </font>
    <font>
      <sz val="9"/>
      <color rgb="FF1F2937"/>
      <name val="Arial"/>
      <family val="2"/>
    </font>
    <font>
      <sz val="9"/>
      <color rgb="FF4B5563"/>
      <name val="Arial"/>
      <family val="2"/>
    </font>
    <font>
      <b val="true"/>
      <sz val="16"/>
      <color rgb="FF1F3A5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0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FFFFFF"/>
        <bgColor rgb="FFF8FAFC"/>
      </patternFill>
    </fill>
    <fill>
      <patternFill patternType="solid">
        <fgColor rgb="FFF3F5F8"/>
        <bgColor rgb="FFF8FAFC"/>
      </patternFill>
    </fill>
    <fill>
      <patternFill patternType="solid">
        <fgColor rgb="FF475569"/>
        <bgColor rgb="FF4B5563"/>
      </patternFill>
    </fill>
    <fill>
      <patternFill patternType="solid">
        <fgColor rgb="FFF8FAFC"/>
        <bgColor rgb="FFF3F5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A5F"/>
      </left>
      <right style="medium">
        <color rgb="FF1F3A5F"/>
      </right>
      <top style="medium">
        <color rgb="FF1F3A5F"/>
      </top>
      <bottom style="medium">
        <color rgb="FF1F3A5F"/>
      </bottom>
      <diagonal/>
    </border>
    <border diagonalUp="false" diagonalDown="false">
      <left style="thick">
        <color rgb="FF1F3A5F"/>
      </left>
      <right/>
      <top/>
      <bottom/>
      <diagonal/>
    </border>
    <border diagonalUp="false" diagonalDown="false">
      <left style="thick">
        <color rgb="FF2A9D8F"/>
      </left>
      <right/>
      <top/>
      <bottom/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5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7556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4A3B8"/>
      <rgbColor rgb="FF993366"/>
      <rgbColor rgb="FFF8FAFC"/>
      <rgbColor rgb="FFF3F5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1F3A5F"/>
      <rgbColor rgb="FF2A9D8F"/>
      <rgbColor rgb="FF003300"/>
      <rgbColor rgb="FF4B5563"/>
      <rgbColor rgb="FF993300"/>
      <rgbColor rgb="FF993366"/>
      <rgbColor rgb="FF47556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Evolução mensal de receita e lucro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Apoio!C9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f3a5f"/>
            </a:solidFill>
            <a:ln w="28440">
              <a:solidFill>
                <a:srgbClr val="1f3a5f"/>
              </a:solidFill>
              <a:round/>
            </a:ln>
          </c:spPr>
          <c:marker>
            <c:symbol val="circle"/>
            <c:size val="7"/>
            <c:spPr>
              <a:solidFill>
                <a:srgbClr val="1f3a5f"/>
              </a:solidFill>
            </c:spPr>
          </c:marker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Apoio!$A$10:$A$15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Apoio!$C$10:$C$15</c:f>
              <c:numCache>
                <c:formatCode>#,##0</c:formatCode>
                <c:ptCount val="6"/>
                <c:pt idx="0">
                  <c:v>25349.4</c:v>
                </c:pt>
                <c:pt idx="1">
                  <c:v>12409.4</c:v>
                </c:pt>
                <c:pt idx="2">
                  <c:v>17315.2</c:v>
                </c:pt>
                <c:pt idx="3">
                  <c:v>21183.5</c:v>
                </c:pt>
                <c:pt idx="4">
                  <c:v>22073.1</c:v>
                </c:pt>
                <c:pt idx="5">
                  <c:v>27510.4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Apoio!D9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2a9d8f"/>
            </a:solidFill>
            <a:ln w="28440">
              <a:solidFill>
                <a:srgbClr val="2a9d8f"/>
              </a:solidFill>
              <a:round/>
            </a:ln>
          </c:spPr>
          <c:marker>
            <c:symbol val="circle"/>
            <c:size val="7"/>
            <c:spPr>
              <a:solidFill>
                <a:srgbClr val="2a9d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Apoio!$A$10:$A$15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Apoio!$D$10:$D$15</c:f>
              <c:numCache>
                <c:formatCode>#,##0</c:formatCode>
                <c:ptCount val="6"/>
                <c:pt idx="0">
                  <c:v>11797.4</c:v>
                </c:pt>
                <c:pt idx="1">
                  <c:v>5987.4</c:v>
                </c:pt>
                <c:pt idx="2">
                  <c:v>8360.2</c:v>
                </c:pt>
                <c:pt idx="3">
                  <c:v>9699.5</c:v>
                </c:pt>
                <c:pt idx="4">
                  <c:v>9920.1</c:v>
                </c:pt>
                <c:pt idx="5">
                  <c:v>12418.4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073841"/>
        <c:axId val="49054788"/>
      </c:lineChart>
      <c:catAx>
        <c:axId val="93073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49054788"/>
        <c:crosses val="autoZero"/>
        <c:auto val="1"/>
        <c:lblAlgn val="ctr"/>
        <c:lblOffset val="100"/>
        <c:noMultiLvlLbl val="0"/>
      </c:catAx>
      <c:valAx>
        <c:axId val="4905478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930738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b5563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ee5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Receita por região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Apoio!B19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Apoio!$A$20:$A$23</c:f>
              <c:strCache>
                <c:ptCount val="4"/>
                <c:pt idx="0">
                  <c:v>Nordeste</c:v>
                </c:pt>
                <c:pt idx="1">
                  <c:v>Sudeste</c:v>
                </c:pt>
                <c:pt idx="2">
                  <c:v>Sul</c:v>
                </c:pt>
                <c:pt idx="3">
                  <c:v>Centro-Oeste</c:v>
                </c:pt>
              </c:strCache>
            </c:strRef>
          </c:cat>
          <c:val>
            <c:numRef>
              <c:f>Apoio!$B$20:$B$23</c:f>
              <c:numCache>
                <c:formatCode>#,##0</c:formatCode>
                <c:ptCount val="4"/>
                <c:pt idx="0">
                  <c:v>33212.7</c:v>
                </c:pt>
                <c:pt idx="1">
                  <c:v>50921.6</c:v>
                </c:pt>
                <c:pt idx="2">
                  <c:v>20182.4</c:v>
                </c:pt>
                <c:pt idx="3">
                  <c:v>21524.3</c:v>
                </c:pt>
              </c:numCache>
            </c:numRef>
          </c:val>
        </c:ser>
        <c:gapWidth val="55"/>
        <c:overlap val="0"/>
        <c:axId val="39795590"/>
        <c:axId val="41870936"/>
      </c:barChart>
      <c:catAx>
        <c:axId val="3979559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41870936"/>
        <c:crosses val="autoZero"/>
        <c:auto val="1"/>
        <c:lblAlgn val="ctr"/>
        <c:lblOffset val="100"/>
        <c:noMultiLvlLbl val="0"/>
      </c:catAx>
      <c:valAx>
        <c:axId val="41870936"/>
        <c:scaling>
          <c:orientation val="minMax"/>
        </c:scaling>
        <c:delete val="1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3979559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ee5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Margem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Apoio!D27</c:f>
              <c:strCache>
                <c:ptCount val="1"/>
                <c:pt idx="0">
                  <c:v>Margem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Apoio!$A$28:$A$31</c:f>
              <c:strCache>
                <c:ptCount val="4"/>
                <c:pt idx="0">
                  <c:v>Eletrônicos</c:v>
                </c:pt>
                <c:pt idx="1">
                  <c:v>Casa</c:v>
                </c:pt>
                <c:pt idx="2">
                  <c:v>Esporte</c:v>
                </c:pt>
                <c:pt idx="3">
                  <c:v>Acessórios</c:v>
                </c:pt>
              </c:strCache>
            </c:strRef>
          </c:cat>
          <c:val>
            <c:numRef>
              <c:f>Apoio!$D$28:$D$31</c:f>
              <c:numCache>
                <c:formatCode>0.0%</c:formatCode>
                <c:ptCount val="4"/>
                <c:pt idx="0">
                  <c:v>0.405377789827608</c:v>
                </c:pt>
                <c:pt idx="1">
                  <c:v>0.453357184772938</c:v>
                </c:pt>
                <c:pt idx="2">
                  <c:v>0.511035328251035</c:v>
                </c:pt>
                <c:pt idx="3">
                  <c:v>0.551633793069356</c:v>
                </c:pt>
              </c:numCache>
            </c:numRef>
          </c:val>
        </c:ser>
        <c:gapWidth val="55"/>
        <c:overlap val="0"/>
        <c:axId val="79728067"/>
        <c:axId val="68264938"/>
      </c:barChart>
      <c:catAx>
        <c:axId val="79728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68264938"/>
        <c:crosses val="autoZero"/>
        <c:auto val="1"/>
        <c:lblAlgn val="ctr"/>
        <c:lblOffset val="100"/>
        <c:noMultiLvlLbl val="0"/>
      </c:catAx>
      <c:valAx>
        <c:axId val="6826493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79728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ee5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Top 5 produtos por receita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Apoio!C57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Apoio!$B$58:$B$62</c:f>
              <c:strCache>
                <c:ptCount val="5"/>
                <c:pt idx="0">
                  <c:v>Teclado Mecânico</c:v>
                </c:pt>
                <c:pt idx="1">
                  <c:v>Mochila Esportiva</c:v>
                </c:pt>
                <c:pt idx="2">
                  <c:v>Cafeteira</c:v>
                </c:pt>
                <c:pt idx="3">
                  <c:v>Mouse Wireless</c:v>
                </c:pt>
                <c:pt idx="4">
                  <c:v>Garrafa Térmica</c:v>
                </c:pt>
              </c:strCache>
            </c:strRef>
          </c:cat>
          <c:val>
            <c:numRef>
              <c:f>Apoio!$C$58:$C$62</c:f>
              <c:numCache>
                <c:formatCode>#,##0</c:formatCode>
                <c:ptCount val="5"/>
                <c:pt idx="0">
                  <c:v>33986.4</c:v>
                </c:pt>
                <c:pt idx="1">
                  <c:v>14710.8</c:v>
                </c:pt>
                <c:pt idx="2">
                  <c:v>12993.5</c:v>
                </c:pt>
                <c:pt idx="3">
                  <c:v>10789.2</c:v>
                </c:pt>
                <c:pt idx="4">
                  <c:v>10518.3</c:v>
                </c:pt>
              </c:numCache>
            </c:numRef>
          </c:val>
        </c:ser>
        <c:gapWidth val="55"/>
        <c:overlap val="0"/>
        <c:axId val="46317538"/>
        <c:axId val="53251100"/>
      </c:barChart>
      <c:catAx>
        <c:axId val="4631753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53251100"/>
        <c:crosses val="autoZero"/>
        <c:auto val="1"/>
        <c:lblAlgn val="ctr"/>
        <c:lblOffset val="100"/>
        <c:noMultiLvlLbl val="0"/>
      </c:catAx>
      <c:valAx>
        <c:axId val="53251100"/>
        <c:scaling>
          <c:orientation val="minMax"/>
        </c:scaling>
        <c:delete val="1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4631753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ee5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Receita por canal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Apoio!B35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Apoio!$A$36:$A$38</c:f>
              <c:strCache>
                <c:ptCount val="3"/>
                <c:pt idx="0">
                  <c:v>Loja Online</c:v>
                </c:pt>
                <c:pt idx="1">
                  <c:v>Marketplace</c:v>
                </c:pt>
                <c:pt idx="2">
                  <c:v>Loja Física</c:v>
                </c:pt>
              </c:strCache>
            </c:strRef>
          </c:cat>
          <c:val>
            <c:numRef>
              <c:f>Apoio!$B$36:$B$38</c:f>
              <c:numCache>
                <c:formatCode>#,##0</c:formatCode>
                <c:ptCount val="3"/>
                <c:pt idx="0">
                  <c:v>55734.6</c:v>
                </c:pt>
                <c:pt idx="1">
                  <c:v>39669.5</c:v>
                </c:pt>
                <c:pt idx="2">
                  <c:v>30436.9</c:v>
                </c:pt>
              </c:numCache>
            </c:numRef>
          </c:val>
        </c:ser>
        <c:gapWidth val="55"/>
        <c:overlap val="0"/>
        <c:axId val="10177738"/>
        <c:axId val="16643535"/>
      </c:barChart>
      <c:catAx>
        <c:axId val="10177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16643535"/>
        <c:crosses val="autoZero"/>
        <c:auto val="1"/>
        <c:lblAlgn val="ctr"/>
        <c:lblOffset val="100"/>
        <c:noMultiLvlLbl val="0"/>
      </c:catAx>
      <c:valAx>
        <c:axId val="1664353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10177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ee5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6</xdr:col>
      <xdr:colOff>42840</xdr:colOff>
      <xdr:row>27</xdr:row>
      <xdr:rowOff>115200</xdr:rowOff>
    </xdr:to>
    <xdr:graphicFrame>
      <xdr:nvGraphicFramePr>
        <xdr:cNvPr id="0" name="Chart 1"/>
        <xdr:cNvGraphicFramePr/>
      </xdr:nvGraphicFramePr>
      <xdr:xfrm>
        <a:off x="141120" y="331488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9</xdr:col>
      <xdr:colOff>1658880</xdr:colOff>
      <xdr:row>27</xdr:row>
      <xdr:rowOff>115200</xdr:rowOff>
    </xdr:to>
    <xdr:graphicFrame>
      <xdr:nvGraphicFramePr>
        <xdr:cNvPr id="1" name="Chart 2"/>
        <xdr:cNvGraphicFramePr/>
      </xdr:nvGraphicFramePr>
      <xdr:xfrm>
        <a:off x="5638680" y="3314880"/>
        <a:ext cx="349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1083240</xdr:colOff>
      <xdr:row>42</xdr:row>
      <xdr:rowOff>115200</xdr:rowOff>
    </xdr:to>
    <xdr:graphicFrame>
      <xdr:nvGraphicFramePr>
        <xdr:cNvPr id="2" name="Chart 3"/>
        <xdr:cNvGraphicFramePr/>
      </xdr:nvGraphicFramePr>
      <xdr:xfrm>
        <a:off x="141120" y="6172200"/>
        <a:ext cx="29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1213200</xdr:colOff>
      <xdr:row>29</xdr:row>
      <xdr:rowOff>0</xdr:rowOff>
    </xdr:from>
    <xdr:to>
      <xdr:col>7</xdr:col>
      <xdr:colOff>463680</xdr:colOff>
      <xdr:row>42</xdr:row>
      <xdr:rowOff>115200</xdr:rowOff>
    </xdr:to>
    <xdr:graphicFrame>
      <xdr:nvGraphicFramePr>
        <xdr:cNvPr id="3" name="Chart 4"/>
        <xdr:cNvGraphicFramePr/>
      </xdr:nvGraphicFramePr>
      <xdr:xfrm>
        <a:off x="3186720" y="6172200"/>
        <a:ext cx="29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597600</xdr:colOff>
      <xdr:row>29</xdr:row>
      <xdr:rowOff>0</xdr:rowOff>
    </xdr:from>
    <xdr:to>
      <xdr:col>9</xdr:col>
      <xdr:colOff>1680480</xdr:colOff>
      <xdr:row>42</xdr:row>
      <xdr:rowOff>115200</xdr:rowOff>
    </xdr:to>
    <xdr:graphicFrame>
      <xdr:nvGraphicFramePr>
        <xdr:cNvPr id="4" name="Chart 5"/>
        <xdr:cNvGraphicFramePr/>
      </xdr:nvGraphicFramePr>
      <xdr:xfrm>
        <a:off x="6236280" y="6172200"/>
        <a:ext cx="29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1:J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"/>
    <col collapsed="false" customWidth="true" hidden="false" outlineLevel="0" max="4" min="4" style="0" width="24"/>
    <col collapsed="false" customWidth="true" hidden="false" outlineLevel="0" max="5" min="5" style="0" width="2"/>
    <col collapsed="false" customWidth="true" hidden="false" outlineLevel="0" max="6" min="6" style="0" width="24"/>
    <col collapsed="false" customWidth="true" hidden="false" outlineLevel="0" max="7" min="7" style="0" width="2"/>
    <col collapsed="false" customWidth="true" hidden="false" outlineLevel="0" max="8" min="8" style="0" width="24"/>
    <col collapsed="false" customWidth="true" hidden="false" outlineLevel="0" max="9" min="9" style="0" width="2"/>
    <col collapsed="false" customWidth="true" hidden="false" outlineLevel="0" max="10" min="10" style="0" width="24"/>
    <col collapsed="false" customWidth="true" hidden="false" outlineLevel="0" max="11" min="11" style="0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B3" s="3" t="s">
        <v>1</v>
      </c>
      <c r="C3" s="4"/>
      <c r="D3" s="4"/>
      <c r="E3" s="4"/>
      <c r="F3" s="4"/>
      <c r="G3" s="4"/>
      <c r="H3" s="4"/>
      <c r="I3" s="4"/>
      <c r="J3" s="4"/>
    </row>
    <row r="4" customFormat="false" ht="15.75" hidden="false" customHeight="true" outlineLevel="0" collapsed="false">
      <c r="B4" s="5" t="s">
        <v>2</v>
      </c>
      <c r="D4" s="5" t="s">
        <v>3</v>
      </c>
      <c r="F4" s="5" t="s">
        <v>4</v>
      </c>
    </row>
    <row r="5" customFormat="false" ht="24" hidden="false" customHeight="true" outlineLevel="0" collapsed="false">
      <c r="B5" s="6" t="s">
        <v>5</v>
      </c>
      <c r="D5" s="6" t="s">
        <v>5</v>
      </c>
      <c r="F5" s="6" t="s">
        <v>5</v>
      </c>
      <c r="H5" s="7" t="s">
        <v>6</v>
      </c>
    </row>
    <row r="6" customFormat="false" ht="7.5" hidden="false" customHeight="true" outlineLevel="0" collapsed="false"/>
    <row r="7" customFormat="false" ht="18" hidden="false" customHeight="true" outlineLevel="0" collapsed="false">
      <c r="B7" s="8" t="s">
        <v>7</v>
      </c>
      <c r="D7" s="8" t="s">
        <v>8</v>
      </c>
      <c r="F7" s="8" t="s">
        <v>9</v>
      </c>
      <c r="H7" s="8" t="s">
        <v>10</v>
      </c>
      <c r="J7" s="8" t="s">
        <v>11</v>
      </c>
    </row>
    <row r="8" customFormat="false" ht="33.75" hidden="false" customHeight="true" outlineLevel="0" collapsed="false">
      <c r="B8" s="9" t="n">
        <f aca="false">SUMIFS(Base_Vendas!$K$2:$K$241,Base_Vendas!$C$2:$C$241,Apoio!$B$4,Base_Vendas!$D$2:$D$241,Apoio!$B$5,Base_Vendas!$G$2:$G$241,Apoio!$B$6)</f>
        <v>125841</v>
      </c>
      <c r="D8" s="9" t="n">
        <f aca="false">SUMIFS(Base_Vendas!$M$2:$M$241,Base_Vendas!$C$2:$C$241,Apoio!$B$4,Base_Vendas!$D$2:$D$241,Apoio!$B$5,Base_Vendas!$G$2:$G$241,Apoio!$B$6)</f>
        <v>58183</v>
      </c>
      <c r="F8" s="10" t="n">
        <f aca="false">IFERROR(D8/B8,0)</f>
        <v>0.462353287084496</v>
      </c>
      <c r="H8" s="11" t="n">
        <f aca="false">COUNTIFS(Base_Vendas!$C$2:$C$241,Apoio!$B$4,Base_Vendas!$D$2:$D$241,Apoio!$B$5,Base_Vendas!$G$2:$G$241,Apoio!$B$6)</f>
        <v>240</v>
      </c>
      <c r="J8" s="12" t="n">
        <f aca="false">IFERROR(B8/H8,0)</f>
        <v>524.3375</v>
      </c>
    </row>
    <row r="9" customFormat="false" ht="18" hidden="false" customHeight="true" outlineLevel="0" collapsed="false">
      <c r="B9" s="13" t="n">
        <f aca="false">IFERROR(B8/SUM(Base_Vendas!$K$2:$K$241),0)</f>
        <v>1</v>
      </c>
      <c r="D9" s="13" t="n">
        <f aca="false">IFERROR(D8/SUM(Base_Vendas!$M$2:$M$241),0)</f>
        <v>1</v>
      </c>
      <c r="F9" s="14" t="n">
        <f aca="false">IFERROR(SUM(Base_Vendas!$M$2:$M$241)/SUM(Base_Vendas!$K$2:$K$241),0)</f>
        <v>0.462353287084496</v>
      </c>
      <c r="H9" s="13" t="n">
        <f aca="false">IFERROR(H8/COUNTA(Base_Vendas!$A$2:$A$241),0)</f>
        <v>1</v>
      </c>
      <c r="J9" s="15" t="n">
        <f aca="false">IFERROR(SUM(Base_Vendas!$K$2:$K$241)/COUNTA(Base_Vendas!$A$2:$A$241),0)</f>
        <v>524.3375</v>
      </c>
    </row>
    <row r="10" customFormat="false" ht="9.75" hidden="false" customHeight="true" outlineLevel="0" collapsed="false"/>
    <row r="11" customFormat="false" ht="18" hidden="false" customHeight="true" outlineLevel="0" collapsed="false">
      <c r="B11" s="16" t="s">
        <v>12</v>
      </c>
      <c r="D11" s="16" t="s">
        <v>13</v>
      </c>
      <c r="F11" s="16" t="s">
        <v>14</v>
      </c>
      <c r="H11" s="16" t="s">
        <v>15</v>
      </c>
      <c r="J11" s="16" t="s">
        <v>16</v>
      </c>
    </row>
    <row r="12" customFormat="false" ht="25.5" hidden="false" customHeight="true" outlineLevel="0" collapsed="false">
      <c r="B12" s="17" t="str">
        <f aca="false">Apoio!B67</f>
        <v>Jun</v>
      </c>
      <c r="D12" s="17" t="str">
        <f aca="false">Apoio!B68</f>
        <v>Sudeste</v>
      </c>
      <c r="F12" s="17" t="str">
        <f aca="false">Apoio!B69</f>
        <v>Acessórios</v>
      </c>
      <c r="H12" s="17" t="str">
        <f aca="false">Apoio!B70</f>
        <v>Teclado Mecânico</v>
      </c>
      <c r="J12" s="17" t="str">
        <f aca="false">Apoio!B71</f>
        <v>Loja Online</v>
      </c>
    </row>
    <row r="13" customFormat="false" ht="18" hidden="false" customHeight="true" outlineLevel="0" collapsed="false">
      <c r="B13" s="18" t="n">
        <f aca="false">Apoio!C67</f>
        <v>27510.4</v>
      </c>
      <c r="D13" s="18" t="n">
        <f aca="false">Apoio!C68</f>
        <v>50921.6</v>
      </c>
      <c r="F13" s="19" t="n">
        <f aca="false">Apoio!C69</f>
        <v>0.551633793069356</v>
      </c>
      <c r="H13" s="18" t="n">
        <f aca="false">Apoio!C70</f>
        <v>33986.4</v>
      </c>
      <c r="J13" s="18" t="n">
        <f aca="false">Apoio!C71</f>
        <v>55734.6</v>
      </c>
    </row>
    <row r="14" customFormat="false" ht="9.75" hidden="false" customHeight="true" outlineLevel="0" collapsed="false"/>
    <row r="45" customFormat="false" ht="15" hidden="false" customHeight="false" outlineLevel="0" collapsed="false">
      <c r="B45" s="20" t="s">
        <v>17</v>
      </c>
    </row>
    <row r="46" customFormat="false" ht="15" hidden="false" customHeight="false" outlineLevel="0" collapsed="false">
      <c r="B46" s="20" t="s">
        <v>18</v>
      </c>
    </row>
    <row r="47" customFormat="false" ht="15" hidden="false" customHeight="false" outlineLevel="0" collapsed="false">
      <c r="B47" s="20" t="s">
        <v>19</v>
      </c>
    </row>
  </sheetData>
  <dataValidations count="3">
    <dataValidation allowBlank="false" error="Escolha uma das opções da lista." errorStyle="stop" errorTitle="Opção inválida" operator="between" showDropDown="false" showErrorMessage="true" showInputMessage="false" sqref="B5" type="list">
      <formula1>"Todos,Nordeste,Sudeste,Sul,Centro-Oeste"</formula1>
      <formula2>0</formula2>
    </dataValidation>
    <dataValidation allowBlank="false" error="Escolha uma das opções da lista." errorStyle="stop" errorTitle="Opção inválida" operator="between" showDropDown="false" showErrorMessage="true" showInputMessage="false" sqref="D5" type="list">
      <formula1>"Todos,Eletrônicos,Casa,Esporte,Acessórios"</formula1>
      <formula2>0</formula2>
    </dataValidation>
    <dataValidation allowBlank="false" error="Escolha uma das opções da lista." errorStyle="stop" errorTitle="Opção inválida" operator="between" showDropDown="false" showErrorMessage="true" showInputMessage="false" sqref="F5" type="list">
      <formula1>"Todos,Loja Online,Marketplace,Loja Física"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B2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5"/>
  </cols>
  <sheetData>
    <row r="2" customFormat="false" ht="19.7" hidden="false" customHeight="false" outlineLevel="0" collapsed="false">
      <c r="B2" s="21" t="s">
        <v>20</v>
      </c>
    </row>
    <row r="3" customFormat="false" ht="15" hidden="false" customHeight="false" outlineLevel="0" collapsed="false">
      <c r="B3" s="22" t="s">
        <v>21</v>
      </c>
    </row>
    <row r="5" customFormat="false" ht="21.75" hidden="false" customHeight="true" outlineLevel="0" collapsed="false">
      <c r="B5" s="23" t="s">
        <v>22</v>
      </c>
      <c r="C5" s="2"/>
    </row>
    <row r="6" customFormat="false" ht="16.5" hidden="false" customHeight="true" outlineLevel="0" collapsed="false">
      <c r="B6" s="24" t="s">
        <v>23</v>
      </c>
      <c r="C6" s="25" t="s">
        <v>24</v>
      </c>
    </row>
    <row r="7" customFormat="false" ht="16.5" hidden="false" customHeight="true" outlineLevel="0" collapsed="false">
      <c r="B7" s="24" t="s">
        <v>25</v>
      </c>
      <c r="C7" s="25" t="s">
        <v>26</v>
      </c>
    </row>
    <row r="8" customFormat="false" ht="30.75" hidden="false" customHeight="true" outlineLevel="0" collapsed="false">
      <c r="B8" s="24" t="s">
        <v>27</v>
      </c>
      <c r="C8" s="25" t="s">
        <v>28</v>
      </c>
    </row>
    <row r="9" customFormat="false" ht="30.75" hidden="false" customHeight="true" outlineLevel="0" collapsed="false">
      <c r="B9" s="24" t="s">
        <v>29</v>
      </c>
      <c r="C9" s="25" t="s">
        <v>30</v>
      </c>
    </row>
    <row r="11" customFormat="false" ht="21.75" hidden="false" customHeight="true" outlineLevel="0" collapsed="false">
      <c r="B11" s="23" t="s">
        <v>31</v>
      </c>
      <c r="C11" s="2"/>
    </row>
    <row r="12" customFormat="false" ht="16.5" hidden="false" customHeight="true" outlineLevel="0" collapsed="false">
      <c r="B12" s="24" t="s">
        <v>32</v>
      </c>
      <c r="C12" s="25" t="s">
        <v>33</v>
      </c>
    </row>
    <row r="13" customFormat="false" ht="30.75" hidden="false" customHeight="true" outlineLevel="0" collapsed="false">
      <c r="B13" s="24" t="s">
        <v>34</v>
      </c>
      <c r="C13" s="25" t="s">
        <v>35</v>
      </c>
    </row>
    <row r="14" customFormat="false" ht="30.75" hidden="false" customHeight="true" outlineLevel="0" collapsed="false">
      <c r="B14" s="24" t="s">
        <v>36</v>
      </c>
      <c r="C14" s="25" t="s">
        <v>37</v>
      </c>
    </row>
    <row r="16" customFormat="false" ht="21.75" hidden="false" customHeight="true" outlineLevel="0" collapsed="false">
      <c r="B16" s="23" t="s">
        <v>38</v>
      </c>
      <c r="C16" s="2"/>
    </row>
    <row r="17" customFormat="false" ht="30.75" hidden="false" customHeight="true" outlineLevel="0" collapsed="false">
      <c r="B17" s="24" t="s">
        <v>39</v>
      </c>
      <c r="C17" s="25" t="s">
        <v>40</v>
      </c>
    </row>
    <row r="18" customFormat="false" ht="30.75" hidden="false" customHeight="true" outlineLevel="0" collapsed="false">
      <c r="B18" s="24" t="s">
        <v>41</v>
      </c>
      <c r="C18" s="25" t="s">
        <v>42</v>
      </c>
    </row>
    <row r="19" customFormat="false" ht="30.75" hidden="false" customHeight="true" outlineLevel="0" collapsed="false">
      <c r="B19" s="24" t="s">
        <v>43</v>
      </c>
      <c r="C19" s="25" t="s">
        <v>44</v>
      </c>
    </row>
    <row r="20" customFormat="false" ht="30.75" hidden="false" customHeight="true" outlineLevel="0" collapsed="false">
      <c r="B20" s="24" t="s">
        <v>45</v>
      </c>
      <c r="C20" s="25" t="s">
        <v>46</v>
      </c>
    </row>
    <row r="22" customFormat="false" ht="21.75" hidden="false" customHeight="true" outlineLevel="0" collapsed="false">
      <c r="B22" s="23" t="s">
        <v>47</v>
      </c>
      <c r="C22" s="2"/>
    </row>
    <row r="23" customFormat="false" ht="30.75" hidden="false" customHeight="true" outlineLevel="0" collapsed="false">
      <c r="B23" s="24" t="s">
        <v>48</v>
      </c>
      <c r="C23" s="25" t="s">
        <v>49</v>
      </c>
    </row>
    <row r="24" customFormat="false" ht="30.75" hidden="false" customHeight="true" outlineLevel="0" collapsed="false">
      <c r="B24" s="24" t="s">
        <v>50</v>
      </c>
      <c r="C24" s="25" t="s">
        <v>51</v>
      </c>
    </row>
    <row r="25" customFormat="false" ht="30.75" hidden="false" customHeight="true" outlineLevel="0" collapsed="false">
      <c r="B25" s="24" t="s">
        <v>52</v>
      </c>
      <c r="C25" s="25" t="s">
        <v>53</v>
      </c>
    </row>
    <row r="27" customFormat="false" ht="21.75" hidden="false" customHeight="true" outlineLevel="0" collapsed="false">
      <c r="B27" s="23" t="s">
        <v>54</v>
      </c>
      <c r="C27" s="2"/>
    </row>
    <row r="28" customFormat="false" ht="16.5" hidden="false" customHeight="true" outlineLevel="0" collapsed="false">
      <c r="B28" s="24" t="s">
        <v>55</v>
      </c>
      <c r="C28" s="25" t="s">
        <v>56</v>
      </c>
    </row>
    <row r="29" customFormat="false" ht="16.5" hidden="false" customHeight="true" outlineLevel="0" collapsed="false">
      <c r="B29" s="24" t="s">
        <v>57</v>
      </c>
      <c r="C29" s="25" t="s">
        <v>58</v>
      </c>
    </row>
    <row r="30" customFormat="false" ht="16.5" hidden="false" customHeight="true" outlineLevel="0" collapsed="false">
      <c r="B30" s="24" t="s">
        <v>59</v>
      </c>
      <c r="C30" s="25" t="s">
        <v>60</v>
      </c>
    </row>
    <row r="31" customFormat="false" ht="16.5" hidden="false" customHeight="true" outlineLevel="0" collapsed="false">
      <c r="B31" s="24" t="s">
        <v>61</v>
      </c>
      <c r="C31" s="25" t="s">
        <v>62</v>
      </c>
    </row>
    <row r="32" customFormat="false" ht="16.5" hidden="false" customHeight="true" outlineLevel="0" collapsed="false">
      <c r="B32" s="24" t="s">
        <v>63</v>
      </c>
      <c r="C32" s="25" t="s">
        <v>64</v>
      </c>
    </row>
    <row r="33" customFormat="false" ht="16.5" hidden="false" customHeight="true" outlineLevel="0" collapsed="false">
      <c r="B33" s="24" t="s">
        <v>65</v>
      </c>
      <c r="C33" s="25" t="s">
        <v>66</v>
      </c>
    </row>
    <row r="35" customFormat="false" ht="21.75" hidden="false" customHeight="true" outlineLevel="0" collapsed="false">
      <c r="B35" s="23" t="s">
        <v>67</v>
      </c>
      <c r="C35" s="2"/>
    </row>
    <row r="36" customFormat="false" ht="16.5" hidden="false" customHeight="true" outlineLevel="0" collapsed="false">
      <c r="B36" s="24" t="s">
        <v>68</v>
      </c>
      <c r="C36" s="25" t="s">
        <v>69</v>
      </c>
    </row>
    <row r="37" customFormat="false" ht="16.5" hidden="false" customHeight="true" outlineLevel="0" collapsed="false">
      <c r="B37" s="24" t="s">
        <v>70</v>
      </c>
      <c r="C37" s="25" t="s">
        <v>71</v>
      </c>
    </row>
    <row r="38" customFormat="false" ht="16.5" hidden="false" customHeight="true" outlineLevel="0" collapsed="false">
      <c r="B38" s="24" t="s">
        <v>72</v>
      </c>
      <c r="C38" s="25" t="s">
        <v>73</v>
      </c>
    </row>
    <row r="39" customFormat="false" ht="16.5" hidden="false" customHeight="true" outlineLevel="0" collapsed="false">
      <c r="B39" s="24" t="s">
        <v>74</v>
      </c>
      <c r="C39" s="25" t="s">
        <v>75</v>
      </c>
    </row>
    <row r="40" customFormat="false" ht="16.5" hidden="false" customHeight="true" outlineLevel="0" collapsed="false">
      <c r="B40" s="24" t="s">
        <v>76</v>
      </c>
      <c r="C40" s="25" t="s">
        <v>77</v>
      </c>
    </row>
    <row r="41" customFormat="false" ht="16.5" hidden="false" customHeight="true" outlineLevel="0" collapsed="false">
      <c r="B41" s="24" t="s">
        <v>78</v>
      </c>
      <c r="C41" s="25" t="s">
        <v>79</v>
      </c>
    </row>
    <row r="42" customFormat="false" ht="16.5" hidden="false" customHeight="true" outlineLevel="0" collapsed="false">
      <c r="B42" s="24" t="s">
        <v>80</v>
      </c>
      <c r="C42" s="25" t="s">
        <v>81</v>
      </c>
    </row>
    <row r="43" customFormat="false" ht="16.5" hidden="false" customHeight="true" outlineLevel="0" collapsed="false">
      <c r="B43" s="24" t="s">
        <v>82</v>
      </c>
      <c r="C43" s="25" t="s">
        <v>83</v>
      </c>
    </row>
    <row r="45" customFormat="false" ht="21.75" hidden="false" customHeight="true" outlineLevel="0" collapsed="false">
      <c r="B45" s="23" t="s">
        <v>84</v>
      </c>
      <c r="C45" s="2"/>
    </row>
    <row r="46" customFormat="false" ht="30.75" hidden="false" customHeight="true" outlineLevel="0" collapsed="false">
      <c r="B46" s="24" t="s">
        <v>85</v>
      </c>
      <c r="C46" s="25" t="s">
        <v>86</v>
      </c>
    </row>
    <row r="47" customFormat="false" ht="16.5" hidden="false" customHeight="true" outlineLevel="0" collapsed="false">
      <c r="B47" s="24" t="s">
        <v>87</v>
      </c>
      <c r="C47" s="25" t="s">
        <v>88</v>
      </c>
    </row>
    <row r="48" customFormat="false" ht="16.5" hidden="false" customHeight="true" outlineLevel="0" collapsed="false">
      <c r="B48" s="24" t="s">
        <v>89</v>
      </c>
      <c r="C48" s="25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true"/>
  </sheetPr>
  <dimension ref="A1:N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5"/>
    <col collapsed="false" customWidth="true" hidden="false" outlineLevel="0" max="13" min="11" style="0" width="14"/>
    <col collapsed="false" customWidth="true" hidden="false" outlineLevel="0" max="14" min="14" style="0" width="9"/>
  </cols>
  <sheetData>
    <row r="1" customFormat="false" ht="30" hidden="false" customHeight="true" outlineLevel="0" collapsed="false">
      <c r="A1" s="26" t="s">
        <v>68</v>
      </c>
      <c r="B1" s="26" t="s">
        <v>70</v>
      </c>
      <c r="C1" s="26" t="s">
        <v>72</v>
      </c>
      <c r="D1" s="26" t="s">
        <v>91</v>
      </c>
      <c r="E1" s="26" t="s">
        <v>92</v>
      </c>
      <c r="F1" s="26" t="s">
        <v>76</v>
      </c>
      <c r="G1" s="26" t="s">
        <v>78</v>
      </c>
      <c r="H1" s="26" t="s">
        <v>93</v>
      </c>
      <c r="I1" s="26" t="s">
        <v>94</v>
      </c>
      <c r="J1" s="26" t="s">
        <v>95</v>
      </c>
      <c r="K1" s="27" t="s">
        <v>55</v>
      </c>
      <c r="L1" s="27" t="s">
        <v>96</v>
      </c>
      <c r="M1" s="27" t="s">
        <v>59</v>
      </c>
      <c r="N1" s="27" t="s">
        <v>97</v>
      </c>
    </row>
    <row r="2" customFormat="false" ht="15" hidden="false" customHeight="false" outlineLevel="0" collapsed="false">
      <c r="A2" s="28" t="n">
        <v>1001</v>
      </c>
      <c r="B2" s="29" t="n">
        <v>46186</v>
      </c>
      <c r="C2" s="30" t="s">
        <v>98</v>
      </c>
      <c r="D2" s="30" t="s">
        <v>99</v>
      </c>
      <c r="E2" s="30" t="s">
        <v>100</v>
      </c>
      <c r="F2" s="30" t="s">
        <v>101</v>
      </c>
      <c r="G2" s="30" t="s">
        <v>102</v>
      </c>
      <c r="H2" s="28" t="n">
        <v>2</v>
      </c>
      <c r="I2" s="31" t="n">
        <v>89.9</v>
      </c>
      <c r="J2" s="31" t="n">
        <v>41</v>
      </c>
      <c r="K2" s="31" t="n">
        <f aca="false">H2*I2</f>
        <v>179.8</v>
      </c>
      <c r="L2" s="31" t="n">
        <f aca="false">H2*J2</f>
        <v>82</v>
      </c>
      <c r="M2" s="31" t="n">
        <f aca="false">K2-L2</f>
        <v>97.8</v>
      </c>
      <c r="N2" s="28" t="n">
        <f aca="false">MONTH(B2)</f>
        <v>6</v>
      </c>
    </row>
    <row r="3" customFormat="false" ht="15" hidden="false" customHeight="false" outlineLevel="0" collapsed="false">
      <c r="A3" s="32" t="n">
        <v>1002</v>
      </c>
      <c r="B3" s="33" t="n">
        <v>46196</v>
      </c>
      <c r="C3" s="34" t="s">
        <v>103</v>
      </c>
      <c r="D3" s="34" t="s">
        <v>104</v>
      </c>
      <c r="E3" s="34" t="s">
        <v>105</v>
      </c>
      <c r="F3" s="34" t="s">
        <v>106</v>
      </c>
      <c r="G3" s="34" t="s">
        <v>107</v>
      </c>
      <c r="H3" s="32" t="n">
        <v>4</v>
      </c>
      <c r="I3" s="35" t="n">
        <v>99.9</v>
      </c>
      <c r="J3" s="35" t="n">
        <v>52</v>
      </c>
      <c r="K3" s="35" t="n">
        <f aca="false">H3*I3</f>
        <v>399.6</v>
      </c>
      <c r="L3" s="35" t="n">
        <f aca="false">H3*J3</f>
        <v>208</v>
      </c>
      <c r="M3" s="35" t="n">
        <f aca="false">K3-L3</f>
        <v>191.6</v>
      </c>
      <c r="N3" s="32" t="n">
        <f aca="false">MONTH(B3)</f>
        <v>6</v>
      </c>
    </row>
    <row r="4" customFormat="false" ht="15" hidden="false" customHeight="false" outlineLevel="0" collapsed="false">
      <c r="A4" s="28" t="n">
        <v>1003</v>
      </c>
      <c r="B4" s="29" t="n">
        <v>46078</v>
      </c>
      <c r="C4" s="30" t="s">
        <v>98</v>
      </c>
      <c r="D4" s="30" t="s">
        <v>104</v>
      </c>
      <c r="E4" s="30" t="s">
        <v>105</v>
      </c>
      <c r="F4" s="30" t="s">
        <v>108</v>
      </c>
      <c r="G4" s="30" t="s">
        <v>102</v>
      </c>
      <c r="H4" s="28" t="n">
        <v>2</v>
      </c>
      <c r="I4" s="31" t="n">
        <v>99.9</v>
      </c>
      <c r="J4" s="31" t="n">
        <v>52</v>
      </c>
      <c r="K4" s="31" t="n">
        <f aca="false">H4*I4</f>
        <v>199.8</v>
      </c>
      <c r="L4" s="31" t="n">
        <f aca="false">H4*J4</f>
        <v>104</v>
      </c>
      <c r="M4" s="31" t="n">
        <f aca="false">K4-L4</f>
        <v>95.8</v>
      </c>
      <c r="N4" s="28" t="n">
        <f aca="false">MONTH(B4)</f>
        <v>2</v>
      </c>
    </row>
    <row r="5" customFormat="false" ht="15" hidden="false" customHeight="false" outlineLevel="0" collapsed="false">
      <c r="A5" s="32" t="n">
        <v>1004</v>
      </c>
      <c r="B5" s="33" t="n">
        <v>46162</v>
      </c>
      <c r="C5" s="34" t="s">
        <v>109</v>
      </c>
      <c r="D5" s="34" t="s">
        <v>110</v>
      </c>
      <c r="E5" s="34" t="s">
        <v>111</v>
      </c>
      <c r="F5" s="34" t="s">
        <v>106</v>
      </c>
      <c r="G5" s="34" t="s">
        <v>102</v>
      </c>
      <c r="H5" s="32" t="n">
        <v>3</v>
      </c>
      <c r="I5" s="35" t="n">
        <v>129.9</v>
      </c>
      <c r="J5" s="35" t="n">
        <v>61</v>
      </c>
      <c r="K5" s="35" t="n">
        <f aca="false">H5*I5</f>
        <v>389.7</v>
      </c>
      <c r="L5" s="35" t="n">
        <f aca="false">H5*J5</f>
        <v>183</v>
      </c>
      <c r="M5" s="35" t="n">
        <f aca="false">K5-L5</f>
        <v>206.7</v>
      </c>
      <c r="N5" s="32" t="n">
        <f aca="false">MONTH(B5)</f>
        <v>5</v>
      </c>
    </row>
    <row r="6" customFormat="false" ht="15" hidden="false" customHeight="false" outlineLevel="0" collapsed="false">
      <c r="A6" s="28" t="n">
        <v>1005</v>
      </c>
      <c r="B6" s="29" t="n">
        <v>46063</v>
      </c>
      <c r="C6" s="30" t="s">
        <v>103</v>
      </c>
      <c r="D6" s="30" t="s">
        <v>99</v>
      </c>
      <c r="E6" s="30" t="s">
        <v>112</v>
      </c>
      <c r="F6" s="30" t="s">
        <v>101</v>
      </c>
      <c r="G6" s="30" t="s">
        <v>113</v>
      </c>
      <c r="H6" s="28" t="n">
        <v>2</v>
      </c>
      <c r="I6" s="31" t="n">
        <v>69.9</v>
      </c>
      <c r="J6" s="31" t="n">
        <v>29</v>
      </c>
      <c r="K6" s="31" t="n">
        <f aca="false">H6*I6</f>
        <v>139.8</v>
      </c>
      <c r="L6" s="31" t="n">
        <f aca="false">H6*J6</f>
        <v>58</v>
      </c>
      <c r="M6" s="31" t="n">
        <f aca="false">K6-L6</f>
        <v>81.8</v>
      </c>
      <c r="N6" s="28" t="n">
        <f aca="false">MONTH(B6)</f>
        <v>2</v>
      </c>
    </row>
    <row r="7" customFormat="false" ht="15" hidden="false" customHeight="false" outlineLevel="0" collapsed="false">
      <c r="A7" s="32" t="n">
        <v>1006</v>
      </c>
      <c r="B7" s="33" t="n">
        <v>46109</v>
      </c>
      <c r="C7" s="34" t="s">
        <v>98</v>
      </c>
      <c r="D7" s="34" t="s">
        <v>110</v>
      </c>
      <c r="E7" s="34" t="s">
        <v>114</v>
      </c>
      <c r="F7" s="34" t="s">
        <v>115</v>
      </c>
      <c r="G7" s="34" t="s">
        <v>102</v>
      </c>
      <c r="H7" s="32" t="n">
        <v>3</v>
      </c>
      <c r="I7" s="35" t="n">
        <v>39.9</v>
      </c>
      <c r="J7" s="35" t="n">
        <v>14</v>
      </c>
      <c r="K7" s="35" t="n">
        <f aca="false">H7*I7</f>
        <v>119.7</v>
      </c>
      <c r="L7" s="35" t="n">
        <f aca="false">H7*J7</f>
        <v>42</v>
      </c>
      <c r="M7" s="35" t="n">
        <f aca="false">K7-L7</f>
        <v>77.7</v>
      </c>
      <c r="N7" s="32" t="n">
        <f aca="false">MONTH(B7)</f>
        <v>3</v>
      </c>
    </row>
    <row r="8" customFormat="false" ht="15" hidden="false" customHeight="false" outlineLevel="0" collapsed="false">
      <c r="A8" s="28" t="n">
        <v>1007</v>
      </c>
      <c r="B8" s="29" t="n">
        <v>46034</v>
      </c>
      <c r="C8" s="30" t="s">
        <v>103</v>
      </c>
      <c r="D8" s="30" t="s">
        <v>104</v>
      </c>
      <c r="E8" s="30" t="s">
        <v>116</v>
      </c>
      <c r="F8" s="30" t="s">
        <v>117</v>
      </c>
      <c r="G8" s="30" t="s">
        <v>107</v>
      </c>
      <c r="H8" s="28" t="n">
        <v>1</v>
      </c>
      <c r="I8" s="31" t="n">
        <v>249.9</v>
      </c>
      <c r="J8" s="31" t="n">
        <v>155</v>
      </c>
      <c r="K8" s="31" t="n">
        <f aca="false">H8*I8</f>
        <v>249.9</v>
      </c>
      <c r="L8" s="31" t="n">
        <f aca="false">H8*J8</f>
        <v>155</v>
      </c>
      <c r="M8" s="31" t="n">
        <f aca="false">K8-L8</f>
        <v>94.9</v>
      </c>
      <c r="N8" s="28" t="n">
        <f aca="false">MONTH(B8)</f>
        <v>1</v>
      </c>
    </row>
    <row r="9" customFormat="false" ht="15" hidden="false" customHeight="false" outlineLevel="0" collapsed="false">
      <c r="A9" s="32" t="n">
        <v>1008</v>
      </c>
      <c r="B9" s="33" t="n">
        <v>46183</v>
      </c>
      <c r="C9" s="34" t="s">
        <v>109</v>
      </c>
      <c r="D9" s="34" t="s">
        <v>99</v>
      </c>
      <c r="E9" s="34" t="s">
        <v>118</v>
      </c>
      <c r="F9" s="34" t="s">
        <v>108</v>
      </c>
      <c r="G9" s="34" t="s">
        <v>107</v>
      </c>
      <c r="H9" s="32" t="n">
        <v>2</v>
      </c>
      <c r="I9" s="35" t="n">
        <v>159.9</v>
      </c>
      <c r="J9" s="35" t="n">
        <v>86</v>
      </c>
      <c r="K9" s="35" t="n">
        <f aca="false">H9*I9</f>
        <v>319.8</v>
      </c>
      <c r="L9" s="35" t="n">
        <f aca="false">H9*J9</f>
        <v>172</v>
      </c>
      <c r="M9" s="35" t="n">
        <f aca="false">K9-L9</f>
        <v>147.8</v>
      </c>
      <c r="N9" s="32" t="n">
        <f aca="false">MONTH(B9)</f>
        <v>6</v>
      </c>
    </row>
    <row r="10" customFormat="false" ht="15" hidden="false" customHeight="false" outlineLevel="0" collapsed="false">
      <c r="A10" s="28" t="n">
        <v>1009</v>
      </c>
      <c r="B10" s="29" t="n">
        <v>46192</v>
      </c>
      <c r="C10" s="30" t="s">
        <v>98</v>
      </c>
      <c r="D10" s="30" t="s">
        <v>99</v>
      </c>
      <c r="E10" s="30" t="s">
        <v>100</v>
      </c>
      <c r="F10" s="30" t="s">
        <v>101</v>
      </c>
      <c r="G10" s="30" t="s">
        <v>113</v>
      </c>
      <c r="H10" s="28" t="n">
        <v>7</v>
      </c>
      <c r="I10" s="31" t="n">
        <v>89.9</v>
      </c>
      <c r="J10" s="31" t="n">
        <v>41</v>
      </c>
      <c r="K10" s="31" t="n">
        <f aca="false">H10*I10</f>
        <v>629.3</v>
      </c>
      <c r="L10" s="31" t="n">
        <f aca="false">H10*J10</f>
        <v>287</v>
      </c>
      <c r="M10" s="31" t="n">
        <f aca="false">K10-L10</f>
        <v>342.3</v>
      </c>
      <c r="N10" s="28" t="n">
        <f aca="false">MONTH(B10)</f>
        <v>6</v>
      </c>
    </row>
    <row r="11" customFormat="false" ht="15" hidden="false" customHeight="false" outlineLevel="0" collapsed="false">
      <c r="A11" s="32" t="n">
        <v>1010</v>
      </c>
      <c r="B11" s="33" t="n">
        <v>46120</v>
      </c>
      <c r="C11" s="34" t="s">
        <v>98</v>
      </c>
      <c r="D11" s="34" t="s">
        <v>99</v>
      </c>
      <c r="E11" s="34" t="s">
        <v>100</v>
      </c>
      <c r="F11" s="34" t="s">
        <v>115</v>
      </c>
      <c r="G11" s="34" t="s">
        <v>107</v>
      </c>
      <c r="H11" s="32" t="n">
        <v>3</v>
      </c>
      <c r="I11" s="35" t="n">
        <v>89.9</v>
      </c>
      <c r="J11" s="35" t="n">
        <v>41</v>
      </c>
      <c r="K11" s="35" t="n">
        <f aca="false">H11*I11</f>
        <v>269.7</v>
      </c>
      <c r="L11" s="35" t="n">
        <f aca="false">H11*J11</f>
        <v>123</v>
      </c>
      <c r="M11" s="35" t="n">
        <f aca="false">K11-L11</f>
        <v>146.7</v>
      </c>
      <c r="N11" s="32" t="n">
        <f aca="false">MONTH(B11)</f>
        <v>4</v>
      </c>
    </row>
    <row r="12" customFormat="false" ht="15" hidden="false" customHeight="false" outlineLevel="0" collapsed="false">
      <c r="A12" s="28" t="n">
        <v>1011</v>
      </c>
      <c r="B12" s="29" t="n">
        <v>46091</v>
      </c>
      <c r="C12" s="30" t="s">
        <v>103</v>
      </c>
      <c r="D12" s="30" t="s">
        <v>104</v>
      </c>
      <c r="E12" s="30" t="s">
        <v>105</v>
      </c>
      <c r="F12" s="30" t="s">
        <v>101</v>
      </c>
      <c r="G12" s="30" t="s">
        <v>102</v>
      </c>
      <c r="H12" s="28" t="n">
        <v>6</v>
      </c>
      <c r="I12" s="31" t="n">
        <v>99.9</v>
      </c>
      <c r="J12" s="31" t="n">
        <v>52</v>
      </c>
      <c r="K12" s="31" t="n">
        <f aca="false">H12*I12</f>
        <v>599.4</v>
      </c>
      <c r="L12" s="31" t="n">
        <f aca="false">H12*J12</f>
        <v>312</v>
      </c>
      <c r="M12" s="31" t="n">
        <f aca="false">K12-L12</f>
        <v>287.4</v>
      </c>
      <c r="N12" s="28" t="n">
        <f aca="false">MONTH(B12)</f>
        <v>3</v>
      </c>
    </row>
    <row r="13" customFormat="false" ht="15" hidden="false" customHeight="false" outlineLevel="0" collapsed="false">
      <c r="A13" s="32" t="n">
        <v>1012</v>
      </c>
      <c r="B13" s="33" t="n">
        <v>46085</v>
      </c>
      <c r="C13" s="34" t="s">
        <v>98</v>
      </c>
      <c r="D13" s="34" t="s">
        <v>110</v>
      </c>
      <c r="E13" s="34" t="s">
        <v>119</v>
      </c>
      <c r="F13" s="34" t="s">
        <v>108</v>
      </c>
      <c r="G13" s="34" t="s">
        <v>102</v>
      </c>
      <c r="H13" s="32" t="n">
        <v>6</v>
      </c>
      <c r="I13" s="35" t="n">
        <v>119.9</v>
      </c>
      <c r="J13" s="35" t="n">
        <v>55</v>
      </c>
      <c r="K13" s="35" t="n">
        <f aca="false">H13*I13</f>
        <v>719.4</v>
      </c>
      <c r="L13" s="35" t="n">
        <f aca="false">H13*J13</f>
        <v>330</v>
      </c>
      <c r="M13" s="35" t="n">
        <f aca="false">K13-L13</f>
        <v>389.4</v>
      </c>
      <c r="N13" s="32" t="n">
        <f aca="false">MONTH(B13)</f>
        <v>3</v>
      </c>
    </row>
    <row r="14" customFormat="false" ht="15" hidden="false" customHeight="false" outlineLevel="0" collapsed="false">
      <c r="A14" s="28" t="n">
        <v>1013</v>
      </c>
      <c r="B14" s="29" t="n">
        <v>46198</v>
      </c>
      <c r="C14" s="30" t="s">
        <v>109</v>
      </c>
      <c r="D14" s="30" t="s">
        <v>104</v>
      </c>
      <c r="E14" s="30" t="s">
        <v>120</v>
      </c>
      <c r="F14" s="30" t="s">
        <v>106</v>
      </c>
      <c r="G14" s="30" t="s">
        <v>113</v>
      </c>
      <c r="H14" s="28" t="n">
        <v>7</v>
      </c>
      <c r="I14" s="31" t="n">
        <v>149.9</v>
      </c>
      <c r="J14" s="31" t="n">
        <v>88</v>
      </c>
      <c r="K14" s="31" t="n">
        <f aca="false">H14*I14</f>
        <v>1049.3</v>
      </c>
      <c r="L14" s="31" t="n">
        <f aca="false">H14*J14</f>
        <v>616</v>
      </c>
      <c r="M14" s="31" t="n">
        <f aca="false">K14-L14</f>
        <v>433.3</v>
      </c>
      <c r="N14" s="28" t="n">
        <f aca="false">MONTH(B14)</f>
        <v>6</v>
      </c>
    </row>
    <row r="15" customFormat="false" ht="15" hidden="false" customHeight="false" outlineLevel="0" collapsed="false">
      <c r="A15" s="32" t="n">
        <v>1014</v>
      </c>
      <c r="B15" s="33" t="n">
        <v>46125</v>
      </c>
      <c r="C15" s="34" t="s">
        <v>98</v>
      </c>
      <c r="D15" s="34" t="s">
        <v>121</v>
      </c>
      <c r="E15" s="34" t="s">
        <v>122</v>
      </c>
      <c r="F15" s="34" t="s">
        <v>115</v>
      </c>
      <c r="G15" s="34" t="s">
        <v>107</v>
      </c>
      <c r="H15" s="32" t="n">
        <v>6</v>
      </c>
      <c r="I15" s="35" t="n">
        <v>199.9</v>
      </c>
      <c r="J15" s="35" t="n">
        <v>118</v>
      </c>
      <c r="K15" s="35" t="n">
        <f aca="false">H15*I15</f>
        <v>1199.4</v>
      </c>
      <c r="L15" s="35" t="n">
        <f aca="false">H15*J15</f>
        <v>708</v>
      </c>
      <c r="M15" s="35" t="n">
        <f aca="false">K15-L15</f>
        <v>491.4</v>
      </c>
      <c r="N15" s="32" t="n">
        <f aca="false">MONTH(B15)</f>
        <v>4</v>
      </c>
    </row>
    <row r="16" customFormat="false" ht="15" hidden="false" customHeight="false" outlineLevel="0" collapsed="false">
      <c r="A16" s="28" t="n">
        <v>1015</v>
      </c>
      <c r="B16" s="29" t="n">
        <v>46150</v>
      </c>
      <c r="C16" s="30" t="s">
        <v>109</v>
      </c>
      <c r="D16" s="30" t="s">
        <v>110</v>
      </c>
      <c r="E16" s="30" t="s">
        <v>114</v>
      </c>
      <c r="F16" s="30" t="s">
        <v>101</v>
      </c>
      <c r="G16" s="30" t="s">
        <v>107</v>
      </c>
      <c r="H16" s="28" t="n">
        <v>3</v>
      </c>
      <c r="I16" s="31" t="n">
        <v>39.9</v>
      </c>
      <c r="J16" s="31" t="n">
        <v>14</v>
      </c>
      <c r="K16" s="31" t="n">
        <f aca="false">H16*I16</f>
        <v>119.7</v>
      </c>
      <c r="L16" s="31" t="n">
        <f aca="false">H16*J16</f>
        <v>42</v>
      </c>
      <c r="M16" s="31" t="n">
        <f aca="false">K16-L16</f>
        <v>77.7</v>
      </c>
      <c r="N16" s="28" t="n">
        <f aca="false">MONTH(B16)</f>
        <v>5</v>
      </c>
    </row>
    <row r="17" customFormat="false" ht="15" hidden="false" customHeight="false" outlineLevel="0" collapsed="false">
      <c r="A17" s="32" t="n">
        <v>1016</v>
      </c>
      <c r="B17" s="33" t="n">
        <v>46166</v>
      </c>
      <c r="C17" s="34" t="s">
        <v>109</v>
      </c>
      <c r="D17" s="34" t="s">
        <v>110</v>
      </c>
      <c r="E17" s="34" t="s">
        <v>111</v>
      </c>
      <c r="F17" s="34" t="s">
        <v>115</v>
      </c>
      <c r="G17" s="34" t="s">
        <v>107</v>
      </c>
      <c r="H17" s="32" t="n">
        <v>4</v>
      </c>
      <c r="I17" s="35" t="n">
        <v>129.9</v>
      </c>
      <c r="J17" s="35" t="n">
        <v>61</v>
      </c>
      <c r="K17" s="35" t="n">
        <f aca="false">H17*I17</f>
        <v>519.6</v>
      </c>
      <c r="L17" s="35" t="n">
        <f aca="false">H17*J17</f>
        <v>244</v>
      </c>
      <c r="M17" s="35" t="n">
        <f aca="false">K17-L17</f>
        <v>275.6</v>
      </c>
      <c r="N17" s="32" t="n">
        <f aca="false">MONTH(B17)</f>
        <v>5</v>
      </c>
    </row>
    <row r="18" customFormat="false" ht="15" hidden="false" customHeight="false" outlineLevel="0" collapsed="false">
      <c r="A18" s="28" t="n">
        <v>1017</v>
      </c>
      <c r="B18" s="29" t="n">
        <v>46058</v>
      </c>
      <c r="C18" s="30" t="s">
        <v>109</v>
      </c>
      <c r="D18" s="30" t="s">
        <v>104</v>
      </c>
      <c r="E18" s="30" t="s">
        <v>120</v>
      </c>
      <c r="F18" s="30" t="s">
        <v>106</v>
      </c>
      <c r="G18" s="30" t="s">
        <v>107</v>
      </c>
      <c r="H18" s="28" t="n">
        <v>7</v>
      </c>
      <c r="I18" s="31" t="n">
        <v>149.9</v>
      </c>
      <c r="J18" s="31" t="n">
        <v>88</v>
      </c>
      <c r="K18" s="31" t="n">
        <f aca="false">H18*I18</f>
        <v>1049.3</v>
      </c>
      <c r="L18" s="31" t="n">
        <f aca="false">H18*J18</f>
        <v>616</v>
      </c>
      <c r="M18" s="31" t="n">
        <f aca="false">K18-L18</f>
        <v>433.3</v>
      </c>
      <c r="N18" s="28" t="n">
        <f aca="false">MONTH(B18)</f>
        <v>2</v>
      </c>
    </row>
    <row r="19" customFormat="false" ht="15" hidden="false" customHeight="false" outlineLevel="0" collapsed="false">
      <c r="A19" s="32" t="n">
        <v>1018</v>
      </c>
      <c r="B19" s="33" t="n">
        <v>46063</v>
      </c>
      <c r="C19" s="34" t="s">
        <v>103</v>
      </c>
      <c r="D19" s="34" t="s">
        <v>110</v>
      </c>
      <c r="E19" s="34" t="s">
        <v>111</v>
      </c>
      <c r="F19" s="34" t="s">
        <v>123</v>
      </c>
      <c r="G19" s="34" t="s">
        <v>107</v>
      </c>
      <c r="H19" s="32" t="n">
        <v>1</v>
      </c>
      <c r="I19" s="35" t="n">
        <v>129.9</v>
      </c>
      <c r="J19" s="35" t="n">
        <v>61</v>
      </c>
      <c r="K19" s="35" t="n">
        <f aca="false">H19*I19</f>
        <v>129.9</v>
      </c>
      <c r="L19" s="35" t="n">
        <f aca="false">H19*J19</f>
        <v>61</v>
      </c>
      <c r="M19" s="35" t="n">
        <f aca="false">K19-L19</f>
        <v>68.9</v>
      </c>
      <c r="N19" s="32" t="n">
        <f aca="false">MONTH(B19)</f>
        <v>2</v>
      </c>
    </row>
    <row r="20" customFormat="false" ht="15" hidden="false" customHeight="false" outlineLevel="0" collapsed="false">
      <c r="A20" s="28" t="n">
        <v>1019</v>
      </c>
      <c r="B20" s="29" t="n">
        <v>46142</v>
      </c>
      <c r="C20" s="30" t="s">
        <v>109</v>
      </c>
      <c r="D20" s="30" t="s">
        <v>104</v>
      </c>
      <c r="E20" s="30" t="s">
        <v>105</v>
      </c>
      <c r="F20" s="30" t="s">
        <v>106</v>
      </c>
      <c r="G20" s="30" t="s">
        <v>102</v>
      </c>
      <c r="H20" s="28" t="n">
        <v>6</v>
      </c>
      <c r="I20" s="31" t="n">
        <v>99.9</v>
      </c>
      <c r="J20" s="31" t="n">
        <v>52</v>
      </c>
      <c r="K20" s="31" t="n">
        <f aca="false">H20*I20</f>
        <v>599.4</v>
      </c>
      <c r="L20" s="31" t="n">
        <f aca="false">H20*J20</f>
        <v>312</v>
      </c>
      <c r="M20" s="31" t="n">
        <f aca="false">K20-L20</f>
        <v>287.4</v>
      </c>
      <c r="N20" s="28" t="n">
        <f aca="false">MONTH(B20)</f>
        <v>4</v>
      </c>
    </row>
    <row r="21" customFormat="false" ht="15" hidden="false" customHeight="false" outlineLevel="0" collapsed="false">
      <c r="A21" s="32" t="n">
        <v>1020</v>
      </c>
      <c r="B21" s="33" t="n">
        <v>46160</v>
      </c>
      <c r="C21" s="34" t="s">
        <v>103</v>
      </c>
      <c r="D21" s="34" t="s">
        <v>99</v>
      </c>
      <c r="E21" s="34" t="s">
        <v>100</v>
      </c>
      <c r="F21" s="34" t="s">
        <v>123</v>
      </c>
      <c r="G21" s="34" t="s">
        <v>107</v>
      </c>
      <c r="H21" s="32" t="n">
        <v>3</v>
      </c>
      <c r="I21" s="35" t="n">
        <v>89.9</v>
      </c>
      <c r="J21" s="35" t="n">
        <v>41</v>
      </c>
      <c r="K21" s="35" t="n">
        <f aca="false">H21*I21</f>
        <v>269.7</v>
      </c>
      <c r="L21" s="35" t="n">
        <f aca="false">H21*J21</f>
        <v>123</v>
      </c>
      <c r="M21" s="35" t="n">
        <f aca="false">K21-L21</f>
        <v>146.7</v>
      </c>
      <c r="N21" s="32" t="n">
        <f aca="false">MONTH(B21)</f>
        <v>5</v>
      </c>
    </row>
    <row r="22" customFormat="false" ht="15" hidden="false" customHeight="false" outlineLevel="0" collapsed="false">
      <c r="A22" s="28" t="n">
        <v>1021</v>
      </c>
      <c r="B22" s="29" t="n">
        <v>46023</v>
      </c>
      <c r="C22" s="30" t="s">
        <v>124</v>
      </c>
      <c r="D22" s="30" t="s">
        <v>99</v>
      </c>
      <c r="E22" s="30" t="s">
        <v>118</v>
      </c>
      <c r="F22" s="30" t="s">
        <v>101</v>
      </c>
      <c r="G22" s="30" t="s">
        <v>102</v>
      </c>
      <c r="H22" s="28" t="n">
        <v>7</v>
      </c>
      <c r="I22" s="31" t="n">
        <v>159.9</v>
      </c>
      <c r="J22" s="31" t="n">
        <v>86</v>
      </c>
      <c r="K22" s="31" t="n">
        <f aca="false">H22*I22</f>
        <v>1119.3</v>
      </c>
      <c r="L22" s="31" t="n">
        <f aca="false">H22*J22</f>
        <v>602</v>
      </c>
      <c r="M22" s="31" t="n">
        <f aca="false">K22-L22</f>
        <v>517.3</v>
      </c>
      <c r="N22" s="28" t="n">
        <f aca="false">MONTH(B22)</f>
        <v>1</v>
      </c>
    </row>
    <row r="23" customFormat="false" ht="15" hidden="false" customHeight="false" outlineLevel="0" collapsed="false">
      <c r="A23" s="32" t="n">
        <v>1022</v>
      </c>
      <c r="B23" s="33" t="n">
        <v>46050</v>
      </c>
      <c r="C23" s="34" t="s">
        <v>124</v>
      </c>
      <c r="D23" s="34" t="s">
        <v>99</v>
      </c>
      <c r="E23" s="34" t="s">
        <v>118</v>
      </c>
      <c r="F23" s="34" t="s">
        <v>117</v>
      </c>
      <c r="G23" s="34" t="s">
        <v>107</v>
      </c>
      <c r="H23" s="32" t="n">
        <v>5</v>
      </c>
      <c r="I23" s="35" t="n">
        <v>159.9</v>
      </c>
      <c r="J23" s="35" t="n">
        <v>86</v>
      </c>
      <c r="K23" s="35" t="n">
        <f aca="false">H23*I23</f>
        <v>799.5</v>
      </c>
      <c r="L23" s="35" t="n">
        <f aca="false">H23*J23</f>
        <v>430</v>
      </c>
      <c r="M23" s="35" t="n">
        <f aca="false">K23-L23</f>
        <v>369.5</v>
      </c>
      <c r="N23" s="32" t="n">
        <f aca="false">MONTH(B23)</f>
        <v>1</v>
      </c>
    </row>
    <row r="24" customFormat="false" ht="15" hidden="false" customHeight="false" outlineLevel="0" collapsed="false">
      <c r="A24" s="28" t="n">
        <v>1023</v>
      </c>
      <c r="B24" s="29" t="n">
        <v>46118</v>
      </c>
      <c r="C24" s="30" t="s">
        <v>103</v>
      </c>
      <c r="D24" s="30" t="s">
        <v>104</v>
      </c>
      <c r="E24" s="30" t="s">
        <v>105</v>
      </c>
      <c r="F24" s="30" t="s">
        <v>123</v>
      </c>
      <c r="G24" s="30" t="s">
        <v>107</v>
      </c>
      <c r="H24" s="28" t="n">
        <v>3</v>
      </c>
      <c r="I24" s="31" t="n">
        <v>99.9</v>
      </c>
      <c r="J24" s="31" t="n">
        <v>52</v>
      </c>
      <c r="K24" s="31" t="n">
        <f aca="false">H24*I24</f>
        <v>299.7</v>
      </c>
      <c r="L24" s="31" t="n">
        <f aca="false">H24*J24</f>
        <v>156</v>
      </c>
      <c r="M24" s="31" t="n">
        <f aca="false">K24-L24</f>
        <v>143.7</v>
      </c>
      <c r="N24" s="28" t="n">
        <f aca="false">MONTH(B24)</f>
        <v>4</v>
      </c>
    </row>
    <row r="25" customFormat="false" ht="15" hidden="false" customHeight="false" outlineLevel="0" collapsed="false">
      <c r="A25" s="32" t="n">
        <v>1024</v>
      </c>
      <c r="B25" s="33" t="n">
        <v>46115</v>
      </c>
      <c r="C25" s="34" t="s">
        <v>124</v>
      </c>
      <c r="D25" s="34" t="s">
        <v>99</v>
      </c>
      <c r="E25" s="34" t="s">
        <v>100</v>
      </c>
      <c r="F25" s="34" t="s">
        <v>101</v>
      </c>
      <c r="G25" s="34" t="s">
        <v>113</v>
      </c>
      <c r="H25" s="32" t="n">
        <v>1</v>
      </c>
      <c r="I25" s="35" t="n">
        <v>89.9</v>
      </c>
      <c r="J25" s="35" t="n">
        <v>41</v>
      </c>
      <c r="K25" s="35" t="n">
        <f aca="false">H25*I25</f>
        <v>89.9</v>
      </c>
      <c r="L25" s="35" t="n">
        <f aca="false">H25*J25</f>
        <v>41</v>
      </c>
      <c r="M25" s="35" t="n">
        <f aca="false">K25-L25</f>
        <v>48.9</v>
      </c>
      <c r="N25" s="32" t="n">
        <f aca="false">MONTH(B25)</f>
        <v>4</v>
      </c>
    </row>
    <row r="26" customFormat="false" ht="15" hidden="false" customHeight="false" outlineLevel="0" collapsed="false">
      <c r="A26" s="28" t="n">
        <v>1025</v>
      </c>
      <c r="B26" s="29" t="n">
        <v>46043</v>
      </c>
      <c r="C26" s="30" t="s">
        <v>98</v>
      </c>
      <c r="D26" s="30" t="s">
        <v>110</v>
      </c>
      <c r="E26" s="30" t="s">
        <v>114</v>
      </c>
      <c r="F26" s="30" t="s">
        <v>117</v>
      </c>
      <c r="G26" s="30" t="s">
        <v>102</v>
      </c>
      <c r="H26" s="28" t="n">
        <v>7</v>
      </c>
      <c r="I26" s="31" t="n">
        <v>39.9</v>
      </c>
      <c r="J26" s="31" t="n">
        <v>14</v>
      </c>
      <c r="K26" s="31" t="n">
        <f aca="false">H26*I26</f>
        <v>279.3</v>
      </c>
      <c r="L26" s="31" t="n">
        <f aca="false">H26*J26</f>
        <v>98</v>
      </c>
      <c r="M26" s="31" t="n">
        <f aca="false">K26-L26</f>
        <v>181.3</v>
      </c>
      <c r="N26" s="28" t="n">
        <f aca="false">MONTH(B26)</f>
        <v>1</v>
      </c>
    </row>
    <row r="27" customFormat="false" ht="15" hidden="false" customHeight="false" outlineLevel="0" collapsed="false">
      <c r="A27" s="32" t="n">
        <v>1026</v>
      </c>
      <c r="B27" s="33" t="n">
        <v>46055</v>
      </c>
      <c r="C27" s="34" t="s">
        <v>103</v>
      </c>
      <c r="D27" s="34" t="s">
        <v>121</v>
      </c>
      <c r="E27" s="34" t="s">
        <v>125</v>
      </c>
      <c r="F27" s="34" t="s">
        <v>117</v>
      </c>
      <c r="G27" s="34" t="s">
        <v>107</v>
      </c>
      <c r="H27" s="32" t="n">
        <v>5</v>
      </c>
      <c r="I27" s="35" t="n">
        <v>49.9</v>
      </c>
      <c r="J27" s="35" t="n">
        <v>23</v>
      </c>
      <c r="K27" s="35" t="n">
        <f aca="false">H27*I27</f>
        <v>249.5</v>
      </c>
      <c r="L27" s="35" t="n">
        <f aca="false">H27*J27</f>
        <v>115</v>
      </c>
      <c r="M27" s="35" t="n">
        <f aca="false">K27-L27</f>
        <v>134.5</v>
      </c>
      <c r="N27" s="32" t="n">
        <f aca="false">MONTH(B27)</f>
        <v>2</v>
      </c>
    </row>
    <row r="28" customFormat="false" ht="15" hidden="false" customHeight="false" outlineLevel="0" collapsed="false">
      <c r="A28" s="28" t="n">
        <v>1027</v>
      </c>
      <c r="B28" s="29" t="n">
        <v>46077</v>
      </c>
      <c r="C28" s="30" t="s">
        <v>124</v>
      </c>
      <c r="D28" s="30" t="s">
        <v>121</v>
      </c>
      <c r="E28" s="30" t="s">
        <v>122</v>
      </c>
      <c r="F28" s="30" t="s">
        <v>123</v>
      </c>
      <c r="G28" s="30" t="s">
        <v>113</v>
      </c>
      <c r="H28" s="28" t="n">
        <v>3</v>
      </c>
      <c r="I28" s="31" t="n">
        <v>199.9</v>
      </c>
      <c r="J28" s="31" t="n">
        <v>118</v>
      </c>
      <c r="K28" s="31" t="n">
        <f aca="false">H28*I28</f>
        <v>599.7</v>
      </c>
      <c r="L28" s="31" t="n">
        <f aca="false">H28*J28</f>
        <v>354</v>
      </c>
      <c r="M28" s="31" t="n">
        <f aca="false">K28-L28</f>
        <v>245.7</v>
      </c>
      <c r="N28" s="28" t="n">
        <f aca="false">MONTH(B28)</f>
        <v>2</v>
      </c>
    </row>
    <row r="29" customFormat="false" ht="15" hidden="false" customHeight="false" outlineLevel="0" collapsed="false">
      <c r="A29" s="32" t="n">
        <v>1028</v>
      </c>
      <c r="B29" s="33" t="n">
        <v>46189</v>
      </c>
      <c r="C29" s="34" t="s">
        <v>109</v>
      </c>
      <c r="D29" s="34" t="s">
        <v>110</v>
      </c>
      <c r="E29" s="34" t="s">
        <v>114</v>
      </c>
      <c r="F29" s="34" t="s">
        <v>101</v>
      </c>
      <c r="G29" s="34" t="s">
        <v>107</v>
      </c>
      <c r="H29" s="32" t="n">
        <v>2</v>
      </c>
      <c r="I29" s="35" t="n">
        <v>39.9</v>
      </c>
      <c r="J29" s="35" t="n">
        <v>14</v>
      </c>
      <c r="K29" s="35" t="n">
        <f aca="false">H29*I29</f>
        <v>79.8</v>
      </c>
      <c r="L29" s="35" t="n">
        <f aca="false">H29*J29</f>
        <v>28</v>
      </c>
      <c r="M29" s="35" t="n">
        <f aca="false">K29-L29</f>
        <v>51.8</v>
      </c>
      <c r="N29" s="32" t="n">
        <f aca="false">MONTH(B29)</f>
        <v>6</v>
      </c>
    </row>
    <row r="30" customFormat="false" ht="15" hidden="false" customHeight="false" outlineLevel="0" collapsed="false">
      <c r="A30" s="28" t="n">
        <v>1029</v>
      </c>
      <c r="B30" s="29" t="n">
        <v>46028</v>
      </c>
      <c r="C30" s="30" t="s">
        <v>109</v>
      </c>
      <c r="D30" s="30" t="s">
        <v>121</v>
      </c>
      <c r="E30" s="30" t="s">
        <v>122</v>
      </c>
      <c r="F30" s="30" t="s">
        <v>106</v>
      </c>
      <c r="G30" s="30" t="s">
        <v>107</v>
      </c>
      <c r="H30" s="28" t="n">
        <v>2</v>
      </c>
      <c r="I30" s="31" t="n">
        <v>199.9</v>
      </c>
      <c r="J30" s="31" t="n">
        <v>118</v>
      </c>
      <c r="K30" s="31" t="n">
        <f aca="false">H30*I30</f>
        <v>399.8</v>
      </c>
      <c r="L30" s="31" t="n">
        <f aca="false">H30*J30</f>
        <v>236</v>
      </c>
      <c r="M30" s="31" t="n">
        <f aca="false">K30-L30</f>
        <v>163.8</v>
      </c>
      <c r="N30" s="28" t="n">
        <f aca="false">MONTH(B30)</f>
        <v>1</v>
      </c>
    </row>
    <row r="31" customFormat="false" ht="15" hidden="false" customHeight="false" outlineLevel="0" collapsed="false">
      <c r="A31" s="32" t="n">
        <v>1030</v>
      </c>
      <c r="B31" s="33" t="n">
        <v>46184</v>
      </c>
      <c r="C31" s="34" t="s">
        <v>98</v>
      </c>
      <c r="D31" s="34" t="s">
        <v>104</v>
      </c>
      <c r="E31" s="34" t="s">
        <v>120</v>
      </c>
      <c r="F31" s="34" t="s">
        <v>115</v>
      </c>
      <c r="G31" s="34" t="s">
        <v>107</v>
      </c>
      <c r="H31" s="32" t="n">
        <v>7</v>
      </c>
      <c r="I31" s="35" t="n">
        <v>149.9</v>
      </c>
      <c r="J31" s="35" t="n">
        <v>88</v>
      </c>
      <c r="K31" s="35" t="n">
        <f aca="false">H31*I31</f>
        <v>1049.3</v>
      </c>
      <c r="L31" s="35" t="n">
        <f aca="false">H31*J31</f>
        <v>616</v>
      </c>
      <c r="M31" s="35" t="n">
        <f aca="false">K31-L31</f>
        <v>433.3</v>
      </c>
      <c r="N31" s="32" t="n">
        <f aca="false">MONTH(B31)</f>
        <v>6</v>
      </c>
    </row>
    <row r="32" customFormat="false" ht="15" hidden="false" customHeight="false" outlineLevel="0" collapsed="false">
      <c r="A32" s="28" t="n">
        <v>1031</v>
      </c>
      <c r="B32" s="29" t="n">
        <v>46083</v>
      </c>
      <c r="C32" s="30" t="s">
        <v>98</v>
      </c>
      <c r="D32" s="30" t="s">
        <v>110</v>
      </c>
      <c r="E32" s="30" t="s">
        <v>114</v>
      </c>
      <c r="F32" s="30" t="s">
        <v>101</v>
      </c>
      <c r="G32" s="30" t="s">
        <v>102</v>
      </c>
      <c r="H32" s="28" t="n">
        <v>5</v>
      </c>
      <c r="I32" s="31" t="n">
        <v>39.9</v>
      </c>
      <c r="J32" s="31" t="n">
        <v>14</v>
      </c>
      <c r="K32" s="31" t="n">
        <f aca="false">H32*I32</f>
        <v>199.5</v>
      </c>
      <c r="L32" s="31" t="n">
        <f aca="false">H32*J32</f>
        <v>70</v>
      </c>
      <c r="M32" s="31" t="n">
        <f aca="false">K32-L32</f>
        <v>129.5</v>
      </c>
      <c r="N32" s="28" t="n">
        <f aca="false">MONTH(B32)</f>
        <v>3</v>
      </c>
    </row>
    <row r="33" customFormat="false" ht="15" hidden="false" customHeight="false" outlineLevel="0" collapsed="false">
      <c r="A33" s="32" t="n">
        <v>1032</v>
      </c>
      <c r="B33" s="33" t="n">
        <v>46169</v>
      </c>
      <c r="C33" s="34" t="s">
        <v>109</v>
      </c>
      <c r="D33" s="34" t="s">
        <v>121</v>
      </c>
      <c r="E33" s="34" t="s">
        <v>125</v>
      </c>
      <c r="F33" s="34" t="s">
        <v>123</v>
      </c>
      <c r="G33" s="34" t="s">
        <v>107</v>
      </c>
      <c r="H33" s="32" t="n">
        <v>7</v>
      </c>
      <c r="I33" s="35" t="n">
        <v>49.9</v>
      </c>
      <c r="J33" s="35" t="n">
        <v>23</v>
      </c>
      <c r="K33" s="35" t="n">
        <f aca="false">H33*I33</f>
        <v>349.3</v>
      </c>
      <c r="L33" s="35" t="n">
        <f aca="false">H33*J33</f>
        <v>161</v>
      </c>
      <c r="M33" s="35" t="n">
        <f aca="false">K33-L33</f>
        <v>188.3</v>
      </c>
      <c r="N33" s="32" t="n">
        <f aca="false">MONTH(B33)</f>
        <v>5</v>
      </c>
    </row>
    <row r="34" customFormat="false" ht="15" hidden="false" customHeight="false" outlineLevel="0" collapsed="false">
      <c r="A34" s="28" t="n">
        <v>1033</v>
      </c>
      <c r="B34" s="29" t="n">
        <v>46047</v>
      </c>
      <c r="C34" s="30" t="s">
        <v>103</v>
      </c>
      <c r="D34" s="30" t="s">
        <v>99</v>
      </c>
      <c r="E34" s="30" t="s">
        <v>112</v>
      </c>
      <c r="F34" s="30" t="s">
        <v>123</v>
      </c>
      <c r="G34" s="30" t="s">
        <v>113</v>
      </c>
      <c r="H34" s="28" t="n">
        <v>4</v>
      </c>
      <c r="I34" s="31" t="n">
        <v>69.9</v>
      </c>
      <c r="J34" s="31" t="n">
        <v>29</v>
      </c>
      <c r="K34" s="31" t="n">
        <f aca="false">H34*I34</f>
        <v>279.6</v>
      </c>
      <c r="L34" s="31" t="n">
        <f aca="false">H34*J34</f>
        <v>116</v>
      </c>
      <c r="M34" s="31" t="n">
        <f aca="false">K34-L34</f>
        <v>163.6</v>
      </c>
      <c r="N34" s="28" t="n">
        <f aca="false">MONTH(B34)</f>
        <v>1</v>
      </c>
    </row>
    <row r="35" customFormat="false" ht="15" hidden="false" customHeight="false" outlineLevel="0" collapsed="false">
      <c r="A35" s="32" t="n">
        <v>1034</v>
      </c>
      <c r="B35" s="33" t="n">
        <v>46036</v>
      </c>
      <c r="C35" s="34" t="s">
        <v>103</v>
      </c>
      <c r="D35" s="34" t="s">
        <v>104</v>
      </c>
      <c r="E35" s="34" t="s">
        <v>120</v>
      </c>
      <c r="F35" s="34" t="s">
        <v>108</v>
      </c>
      <c r="G35" s="34" t="s">
        <v>107</v>
      </c>
      <c r="H35" s="32" t="n">
        <v>4</v>
      </c>
      <c r="I35" s="35" t="n">
        <v>149.9</v>
      </c>
      <c r="J35" s="35" t="n">
        <v>88</v>
      </c>
      <c r="K35" s="35" t="n">
        <f aca="false">H35*I35</f>
        <v>599.6</v>
      </c>
      <c r="L35" s="35" t="n">
        <f aca="false">H35*J35</f>
        <v>352</v>
      </c>
      <c r="M35" s="35" t="n">
        <f aca="false">K35-L35</f>
        <v>247.6</v>
      </c>
      <c r="N35" s="32" t="n">
        <f aca="false">MONTH(B35)</f>
        <v>1</v>
      </c>
    </row>
    <row r="36" customFormat="false" ht="15" hidden="false" customHeight="false" outlineLevel="0" collapsed="false">
      <c r="A36" s="28" t="n">
        <v>1035</v>
      </c>
      <c r="B36" s="29" t="n">
        <v>46050</v>
      </c>
      <c r="C36" s="30" t="s">
        <v>98</v>
      </c>
      <c r="D36" s="30" t="s">
        <v>121</v>
      </c>
      <c r="E36" s="30" t="s">
        <v>122</v>
      </c>
      <c r="F36" s="30" t="s">
        <v>101</v>
      </c>
      <c r="G36" s="30" t="s">
        <v>107</v>
      </c>
      <c r="H36" s="28" t="n">
        <v>4</v>
      </c>
      <c r="I36" s="31" t="n">
        <v>199.9</v>
      </c>
      <c r="J36" s="31" t="n">
        <v>118</v>
      </c>
      <c r="K36" s="31" t="n">
        <f aca="false">H36*I36</f>
        <v>799.6</v>
      </c>
      <c r="L36" s="31" t="n">
        <f aca="false">H36*J36</f>
        <v>472</v>
      </c>
      <c r="M36" s="31" t="n">
        <f aca="false">K36-L36</f>
        <v>327.6</v>
      </c>
      <c r="N36" s="28" t="n">
        <f aca="false">MONTH(B36)</f>
        <v>1</v>
      </c>
    </row>
    <row r="37" customFormat="false" ht="15" hidden="false" customHeight="false" outlineLevel="0" collapsed="false">
      <c r="A37" s="32" t="n">
        <v>1036</v>
      </c>
      <c r="B37" s="33" t="n">
        <v>46094</v>
      </c>
      <c r="C37" s="34" t="s">
        <v>109</v>
      </c>
      <c r="D37" s="34" t="s">
        <v>104</v>
      </c>
      <c r="E37" s="34" t="s">
        <v>116</v>
      </c>
      <c r="F37" s="34" t="s">
        <v>117</v>
      </c>
      <c r="G37" s="34" t="s">
        <v>107</v>
      </c>
      <c r="H37" s="32" t="n">
        <v>7</v>
      </c>
      <c r="I37" s="35" t="n">
        <v>249.9</v>
      </c>
      <c r="J37" s="35" t="n">
        <v>155</v>
      </c>
      <c r="K37" s="35" t="n">
        <f aca="false">H37*I37</f>
        <v>1749.3</v>
      </c>
      <c r="L37" s="35" t="n">
        <f aca="false">H37*J37</f>
        <v>1085</v>
      </c>
      <c r="M37" s="35" t="n">
        <f aca="false">K37-L37</f>
        <v>664.3</v>
      </c>
      <c r="N37" s="32" t="n">
        <f aca="false">MONTH(B37)</f>
        <v>3</v>
      </c>
    </row>
    <row r="38" customFormat="false" ht="15" hidden="false" customHeight="false" outlineLevel="0" collapsed="false">
      <c r="A38" s="28" t="n">
        <v>1037</v>
      </c>
      <c r="B38" s="29" t="n">
        <v>46189</v>
      </c>
      <c r="C38" s="30" t="s">
        <v>124</v>
      </c>
      <c r="D38" s="30" t="s">
        <v>104</v>
      </c>
      <c r="E38" s="30" t="s">
        <v>120</v>
      </c>
      <c r="F38" s="30" t="s">
        <v>101</v>
      </c>
      <c r="G38" s="30" t="s">
        <v>107</v>
      </c>
      <c r="H38" s="28" t="n">
        <v>7</v>
      </c>
      <c r="I38" s="31" t="n">
        <v>149.9</v>
      </c>
      <c r="J38" s="31" t="n">
        <v>88</v>
      </c>
      <c r="K38" s="31" t="n">
        <f aca="false">H38*I38</f>
        <v>1049.3</v>
      </c>
      <c r="L38" s="31" t="n">
        <f aca="false">H38*J38</f>
        <v>616</v>
      </c>
      <c r="M38" s="31" t="n">
        <f aca="false">K38-L38</f>
        <v>433.3</v>
      </c>
      <c r="N38" s="28" t="n">
        <f aca="false">MONTH(B38)</f>
        <v>6</v>
      </c>
    </row>
    <row r="39" customFormat="false" ht="15" hidden="false" customHeight="false" outlineLevel="0" collapsed="false">
      <c r="A39" s="32" t="n">
        <v>1038</v>
      </c>
      <c r="B39" s="33" t="n">
        <v>46147</v>
      </c>
      <c r="C39" s="34" t="s">
        <v>109</v>
      </c>
      <c r="D39" s="34" t="s">
        <v>110</v>
      </c>
      <c r="E39" s="34" t="s">
        <v>114</v>
      </c>
      <c r="F39" s="34" t="s">
        <v>123</v>
      </c>
      <c r="G39" s="34" t="s">
        <v>107</v>
      </c>
      <c r="H39" s="32" t="n">
        <v>2</v>
      </c>
      <c r="I39" s="35" t="n">
        <v>39.9</v>
      </c>
      <c r="J39" s="35" t="n">
        <v>14</v>
      </c>
      <c r="K39" s="35" t="n">
        <f aca="false">H39*I39</f>
        <v>79.8</v>
      </c>
      <c r="L39" s="35" t="n">
        <f aca="false">H39*J39</f>
        <v>28</v>
      </c>
      <c r="M39" s="35" t="n">
        <f aca="false">K39-L39</f>
        <v>51.8</v>
      </c>
      <c r="N39" s="32" t="n">
        <f aca="false">MONTH(B39)</f>
        <v>5</v>
      </c>
    </row>
    <row r="40" customFormat="false" ht="15" hidden="false" customHeight="false" outlineLevel="0" collapsed="false">
      <c r="A40" s="28" t="n">
        <v>1039</v>
      </c>
      <c r="B40" s="29" t="n">
        <v>46122</v>
      </c>
      <c r="C40" s="30" t="s">
        <v>98</v>
      </c>
      <c r="D40" s="30" t="s">
        <v>110</v>
      </c>
      <c r="E40" s="30" t="s">
        <v>119</v>
      </c>
      <c r="F40" s="30" t="s">
        <v>108</v>
      </c>
      <c r="G40" s="30" t="s">
        <v>113</v>
      </c>
      <c r="H40" s="28" t="n">
        <v>4</v>
      </c>
      <c r="I40" s="31" t="n">
        <v>119.9</v>
      </c>
      <c r="J40" s="31" t="n">
        <v>55</v>
      </c>
      <c r="K40" s="31" t="n">
        <f aca="false">H40*I40</f>
        <v>479.6</v>
      </c>
      <c r="L40" s="31" t="n">
        <f aca="false">H40*J40</f>
        <v>220</v>
      </c>
      <c r="M40" s="31" t="n">
        <f aca="false">K40-L40</f>
        <v>259.6</v>
      </c>
      <c r="N40" s="28" t="n">
        <f aca="false">MONTH(B40)</f>
        <v>4</v>
      </c>
    </row>
    <row r="41" customFormat="false" ht="15" hidden="false" customHeight="false" outlineLevel="0" collapsed="false">
      <c r="A41" s="32" t="n">
        <v>1040</v>
      </c>
      <c r="B41" s="33" t="n">
        <v>46165</v>
      </c>
      <c r="C41" s="34" t="s">
        <v>103</v>
      </c>
      <c r="D41" s="34" t="s">
        <v>110</v>
      </c>
      <c r="E41" s="34" t="s">
        <v>114</v>
      </c>
      <c r="F41" s="34" t="s">
        <v>115</v>
      </c>
      <c r="G41" s="34" t="s">
        <v>107</v>
      </c>
      <c r="H41" s="32" t="n">
        <v>2</v>
      </c>
      <c r="I41" s="35" t="n">
        <v>39.9</v>
      </c>
      <c r="J41" s="35" t="n">
        <v>14</v>
      </c>
      <c r="K41" s="35" t="n">
        <f aca="false">H41*I41</f>
        <v>79.8</v>
      </c>
      <c r="L41" s="35" t="n">
        <f aca="false">H41*J41</f>
        <v>28</v>
      </c>
      <c r="M41" s="35" t="n">
        <f aca="false">K41-L41</f>
        <v>51.8</v>
      </c>
      <c r="N41" s="32" t="n">
        <f aca="false">MONTH(B41)</f>
        <v>5</v>
      </c>
    </row>
    <row r="42" customFormat="false" ht="15" hidden="false" customHeight="false" outlineLevel="0" collapsed="false">
      <c r="A42" s="28" t="n">
        <v>1041</v>
      </c>
      <c r="B42" s="29" t="n">
        <v>46037</v>
      </c>
      <c r="C42" s="30" t="s">
        <v>109</v>
      </c>
      <c r="D42" s="30" t="s">
        <v>104</v>
      </c>
      <c r="E42" s="30" t="s">
        <v>105</v>
      </c>
      <c r="F42" s="30" t="s">
        <v>106</v>
      </c>
      <c r="G42" s="30" t="s">
        <v>107</v>
      </c>
      <c r="H42" s="28" t="n">
        <v>3</v>
      </c>
      <c r="I42" s="31" t="n">
        <v>99.9</v>
      </c>
      <c r="J42" s="31" t="n">
        <v>52</v>
      </c>
      <c r="K42" s="31" t="n">
        <f aca="false">H42*I42</f>
        <v>299.7</v>
      </c>
      <c r="L42" s="31" t="n">
        <f aca="false">H42*J42</f>
        <v>156</v>
      </c>
      <c r="M42" s="31" t="n">
        <f aca="false">K42-L42</f>
        <v>143.7</v>
      </c>
      <c r="N42" s="28" t="n">
        <f aca="false">MONTH(B42)</f>
        <v>1</v>
      </c>
    </row>
    <row r="43" customFormat="false" ht="15" hidden="false" customHeight="false" outlineLevel="0" collapsed="false">
      <c r="A43" s="32" t="n">
        <v>1042</v>
      </c>
      <c r="B43" s="33" t="n">
        <v>46145</v>
      </c>
      <c r="C43" s="34" t="s">
        <v>109</v>
      </c>
      <c r="D43" s="34" t="s">
        <v>121</v>
      </c>
      <c r="E43" s="34" t="s">
        <v>126</v>
      </c>
      <c r="F43" s="34" t="s">
        <v>106</v>
      </c>
      <c r="G43" s="34" t="s">
        <v>113</v>
      </c>
      <c r="H43" s="32" t="n">
        <v>5</v>
      </c>
      <c r="I43" s="35" t="n">
        <v>79.9</v>
      </c>
      <c r="J43" s="35" t="n">
        <v>39</v>
      </c>
      <c r="K43" s="35" t="n">
        <f aca="false">H43*I43</f>
        <v>399.5</v>
      </c>
      <c r="L43" s="35" t="n">
        <f aca="false">H43*J43</f>
        <v>195</v>
      </c>
      <c r="M43" s="35" t="n">
        <f aca="false">K43-L43</f>
        <v>204.5</v>
      </c>
      <c r="N43" s="32" t="n">
        <f aca="false">MONTH(B43)</f>
        <v>5</v>
      </c>
    </row>
    <row r="44" customFormat="false" ht="15" hidden="false" customHeight="false" outlineLevel="0" collapsed="false">
      <c r="A44" s="28" t="n">
        <v>1043</v>
      </c>
      <c r="B44" s="29" t="n">
        <v>46040</v>
      </c>
      <c r="C44" s="30" t="s">
        <v>109</v>
      </c>
      <c r="D44" s="30" t="s">
        <v>121</v>
      </c>
      <c r="E44" s="30" t="s">
        <v>125</v>
      </c>
      <c r="F44" s="30" t="s">
        <v>117</v>
      </c>
      <c r="G44" s="30" t="s">
        <v>107</v>
      </c>
      <c r="H44" s="28" t="n">
        <v>1</v>
      </c>
      <c r="I44" s="31" t="n">
        <v>49.9</v>
      </c>
      <c r="J44" s="31" t="n">
        <v>23</v>
      </c>
      <c r="K44" s="31" t="n">
        <f aca="false">H44*I44</f>
        <v>49.9</v>
      </c>
      <c r="L44" s="31" t="n">
        <f aca="false">H44*J44</f>
        <v>23</v>
      </c>
      <c r="M44" s="31" t="n">
        <f aca="false">K44-L44</f>
        <v>26.9</v>
      </c>
      <c r="N44" s="28" t="n">
        <f aca="false">MONTH(B44)</f>
        <v>1</v>
      </c>
    </row>
    <row r="45" customFormat="false" ht="15" hidden="false" customHeight="false" outlineLevel="0" collapsed="false">
      <c r="A45" s="32" t="n">
        <v>1044</v>
      </c>
      <c r="B45" s="33" t="n">
        <v>46175</v>
      </c>
      <c r="C45" s="34" t="s">
        <v>98</v>
      </c>
      <c r="D45" s="34" t="s">
        <v>104</v>
      </c>
      <c r="E45" s="34" t="s">
        <v>116</v>
      </c>
      <c r="F45" s="34" t="s">
        <v>117</v>
      </c>
      <c r="G45" s="34" t="s">
        <v>102</v>
      </c>
      <c r="H45" s="32" t="n">
        <v>6</v>
      </c>
      <c r="I45" s="35" t="n">
        <v>249.9</v>
      </c>
      <c r="J45" s="35" t="n">
        <v>155</v>
      </c>
      <c r="K45" s="35" t="n">
        <f aca="false">H45*I45</f>
        <v>1499.4</v>
      </c>
      <c r="L45" s="35" t="n">
        <f aca="false">H45*J45</f>
        <v>930</v>
      </c>
      <c r="M45" s="35" t="n">
        <f aca="false">K45-L45</f>
        <v>569.4</v>
      </c>
      <c r="N45" s="32" t="n">
        <f aca="false">MONTH(B45)</f>
        <v>6</v>
      </c>
    </row>
    <row r="46" customFormat="false" ht="15" hidden="false" customHeight="false" outlineLevel="0" collapsed="false">
      <c r="A46" s="28" t="n">
        <v>1045</v>
      </c>
      <c r="B46" s="29" t="n">
        <v>46103</v>
      </c>
      <c r="C46" s="30" t="s">
        <v>124</v>
      </c>
      <c r="D46" s="30" t="s">
        <v>121</v>
      </c>
      <c r="E46" s="30" t="s">
        <v>122</v>
      </c>
      <c r="F46" s="30" t="s">
        <v>115</v>
      </c>
      <c r="G46" s="30" t="s">
        <v>107</v>
      </c>
      <c r="H46" s="28" t="n">
        <v>6</v>
      </c>
      <c r="I46" s="31" t="n">
        <v>199.9</v>
      </c>
      <c r="J46" s="31" t="n">
        <v>118</v>
      </c>
      <c r="K46" s="31" t="n">
        <f aca="false">H46*I46</f>
        <v>1199.4</v>
      </c>
      <c r="L46" s="31" t="n">
        <f aca="false">H46*J46</f>
        <v>708</v>
      </c>
      <c r="M46" s="31" t="n">
        <f aca="false">K46-L46</f>
        <v>491.4</v>
      </c>
      <c r="N46" s="28" t="n">
        <f aca="false">MONTH(B46)</f>
        <v>3</v>
      </c>
    </row>
    <row r="47" customFormat="false" ht="15" hidden="false" customHeight="false" outlineLevel="0" collapsed="false">
      <c r="A47" s="32" t="n">
        <v>1046</v>
      </c>
      <c r="B47" s="33" t="n">
        <v>46124</v>
      </c>
      <c r="C47" s="34" t="s">
        <v>98</v>
      </c>
      <c r="D47" s="34" t="s">
        <v>99</v>
      </c>
      <c r="E47" s="34" t="s">
        <v>112</v>
      </c>
      <c r="F47" s="34" t="s">
        <v>106</v>
      </c>
      <c r="G47" s="34" t="s">
        <v>107</v>
      </c>
      <c r="H47" s="32" t="n">
        <v>3</v>
      </c>
      <c r="I47" s="35" t="n">
        <v>69.9</v>
      </c>
      <c r="J47" s="35" t="n">
        <v>29</v>
      </c>
      <c r="K47" s="35" t="n">
        <f aca="false">H47*I47</f>
        <v>209.7</v>
      </c>
      <c r="L47" s="35" t="n">
        <f aca="false">H47*J47</f>
        <v>87</v>
      </c>
      <c r="M47" s="35" t="n">
        <f aca="false">K47-L47</f>
        <v>122.7</v>
      </c>
      <c r="N47" s="32" t="n">
        <f aca="false">MONTH(B47)</f>
        <v>4</v>
      </c>
    </row>
    <row r="48" customFormat="false" ht="15" hidden="false" customHeight="false" outlineLevel="0" collapsed="false">
      <c r="A48" s="28" t="n">
        <v>1047</v>
      </c>
      <c r="B48" s="29" t="n">
        <v>46182</v>
      </c>
      <c r="C48" s="30" t="s">
        <v>124</v>
      </c>
      <c r="D48" s="30" t="s">
        <v>104</v>
      </c>
      <c r="E48" s="30" t="s">
        <v>120</v>
      </c>
      <c r="F48" s="30" t="s">
        <v>101</v>
      </c>
      <c r="G48" s="30" t="s">
        <v>102</v>
      </c>
      <c r="H48" s="28" t="n">
        <v>5</v>
      </c>
      <c r="I48" s="31" t="n">
        <v>149.9</v>
      </c>
      <c r="J48" s="31" t="n">
        <v>88</v>
      </c>
      <c r="K48" s="31" t="n">
        <f aca="false">H48*I48</f>
        <v>749.5</v>
      </c>
      <c r="L48" s="31" t="n">
        <f aca="false">H48*J48</f>
        <v>440</v>
      </c>
      <c r="M48" s="31" t="n">
        <f aca="false">K48-L48</f>
        <v>309.5</v>
      </c>
      <c r="N48" s="28" t="n">
        <f aca="false">MONTH(B48)</f>
        <v>6</v>
      </c>
    </row>
    <row r="49" customFormat="false" ht="15" hidden="false" customHeight="false" outlineLevel="0" collapsed="false">
      <c r="A49" s="32" t="n">
        <v>1048</v>
      </c>
      <c r="B49" s="33" t="n">
        <v>46056</v>
      </c>
      <c r="C49" s="34" t="s">
        <v>124</v>
      </c>
      <c r="D49" s="34" t="s">
        <v>104</v>
      </c>
      <c r="E49" s="34" t="s">
        <v>120</v>
      </c>
      <c r="F49" s="34" t="s">
        <v>115</v>
      </c>
      <c r="G49" s="34" t="s">
        <v>107</v>
      </c>
      <c r="H49" s="32" t="n">
        <v>3</v>
      </c>
      <c r="I49" s="35" t="n">
        <v>149.9</v>
      </c>
      <c r="J49" s="35" t="n">
        <v>88</v>
      </c>
      <c r="K49" s="35" t="n">
        <f aca="false">H49*I49</f>
        <v>449.7</v>
      </c>
      <c r="L49" s="35" t="n">
        <f aca="false">H49*J49</f>
        <v>264</v>
      </c>
      <c r="M49" s="35" t="n">
        <f aca="false">K49-L49</f>
        <v>185.7</v>
      </c>
      <c r="N49" s="32" t="n">
        <f aca="false">MONTH(B49)</f>
        <v>2</v>
      </c>
    </row>
    <row r="50" customFormat="false" ht="15" hidden="false" customHeight="false" outlineLevel="0" collapsed="false">
      <c r="A50" s="28" t="n">
        <v>1049</v>
      </c>
      <c r="B50" s="29" t="n">
        <v>46162</v>
      </c>
      <c r="C50" s="30" t="s">
        <v>103</v>
      </c>
      <c r="D50" s="30" t="s">
        <v>104</v>
      </c>
      <c r="E50" s="30" t="s">
        <v>105</v>
      </c>
      <c r="F50" s="30" t="s">
        <v>117</v>
      </c>
      <c r="G50" s="30" t="s">
        <v>107</v>
      </c>
      <c r="H50" s="28" t="n">
        <v>7</v>
      </c>
      <c r="I50" s="31" t="n">
        <v>99.9</v>
      </c>
      <c r="J50" s="31" t="n">
        <v>52</v>
      </c>
      <c r="K50" s="31" t="n">
        <f aca="false">H50*I50</f>
        <v>699.3</v>
      </c>
      <c r="L50" s="31" t="n">
        <f aca="false">H50*J50</f>
        <v>364</v>
      </c>
      <c r="M50" s="31" t="n">
        <f aca="false">K50-L50</f>
        <v>335.3</v>
      </c>
      <c r="N50" s="28" t="n">
        <f aca="false">MONTH(B50)</f>
        <v>5</v>
      </c>
    </row>
    <row r="51" customFormat="false" ht="15" hidden="false" customHeight="false" outlineLevel="0" collapsed="false">
      <c r="A51" s="32" t="n">
        <v>1050</v>
      </c>
      <c r="B51" s="33" t="n">
        <v>46192</v>
      </c>
      <c r="C51" s="34" t="s">
        <v>98</v>
      </c>
      <c r="D51" s="34" t="s">
        <v>121</v>
      </c>
      <c r="E51" s="34" t="s">
        <v>125</v>
      </c>
      <c r="F51" s="34" t="s">
        <v>106</v>
      </c>
      <c r="G51" s="34" t="s">
        <v>102</v>
      </c>
      <c r="H51" s="32" t="n">
        <v>1</v>
      </c>
      <c r="I51" s="35" t="n">
        <v>49.9</v>
      </c>
      <c r="J51" s="35" t="n">
        <v>23</v>
      </c>
      <c r="K51" s="35" t="n">
        <f aca="false">H51*I51</f>
        <v>49.9</v>
      </c>
      <c r="L51" s="35" t="n">
        <f aca="false">H51*J51</f>
        <v>23</v>
      </c>
      <c r="M51" s="35" t="n">
        <f aca="false">K51-L51</f>
        <v>26.9</v>
      </c>
      <c r="N51" s="32" t="n">
        <f aca="false">MONTH(B51)</f>
        <v>6</v>
      </c>
    </row>
    <row r="52" customFormat="false" ht="15" hidden="false" customHeight="false" outlineLevel="0" collapsed="false">
      <c r="A52" s="28" t="n">
        <v>1051</v>
      </c>
      <c r="B52" s="29" t="n">
        <v>46062</v>
      </c>
      <c r="C52" s="30" t="s">
        <v>98</v>
      </c>
      <c r="D52" s="30" t="s">
        <v>121</v>
      </c>
      <c r="E52" s="30" t="s">
        <v>122</v>
      </c>
      <c r="F52" s="30" t="s">
        <v>101</v>
      </c>
      <c r="G52" s="30" t="s">
        <v>102</v>
      </c>
      <c r="H52" s="28" t="n">
        <v>3</v>
      </c>
      <c r="I52" s="31" t="n">
        <v>199.9</v>
      </c>
      <c r="J52" s="31" t="n">
        <v>118</v>
      </c>
      <c r="K52" s="31" t="n">
        <f aca="false">H52*I52</f>
        <v>599.7</v>
      </c>
      <c r="L52" s="31" t="n">
        <f aca="false">H52*J52</f>
        <v>354</v>
      </c>
      <c r="M52" s="31" t="n">
        <f aca="false">K52-L52</f>
        <v>245.7</v>
      </c>
      <c r="N52" s="28" t="n">
        <f aca="false">MONTH(B52)</f>
        <v>2</v>
      </c>
    </row>
    <row r="53" customFormat="false" ht="15" hidden="false" customHeight="false" outlineLevel="0" collapsed="false">
      <c r="A53" s="32" t="n">
        <v>1052</v>
      </c>
      <c r="B53" s="33" t="n">
        <v>46090</v>
      </c>
      <c r="C53" s="34" t="s">
        <v>109</v>
      </c>
      <c r="D53" s="34" t="s">
        <v>99</v>
      </c>
      <c r="E53" s="34" t="s">
        <v>100</v>
      </c>
      <c r="F53" s="34" t="s">
        <v>108</v>
      </c>
      <c r="G53" s="34" t="s">
        <v>107</v>
      </c>
      <c r="H53" s="32" t="n">
        <v>1</v>
      </c>
      <c r="I53" s="35" t="n">
        <v>89.9</v>
      </c>
      <c r="J53" s="35" t="n">
        <v>41</v>
      </c>
      <c r="K53" s="35" t="n">
        <f aca="false">H53*I53</f>
        <v>89.9</v>
      </c>
      <c r="L53" s="35" t="n">
        <f aca="false">H53*J53</f>
        <v>41</v>
      </c>
      <c r="M53" s="35" t="n">
        <f aca="false">K53-L53</f>
        <v>48.9</v>
      </c>
      <c r="N53" s="32" t="n">
        <f aca="false">MONTH(B53)</f>
        <v>3</v>
      </c>
    </row>
    <row r="54" customFormat="false" ht="15" hidden="false" customHeight="false" outlineLevel="0" collapsed="false">
      <c r="A54" s="28" t="n">
        <v>1053</v>
      </c>
      <c r="B54" s="29" t="n">
        <v>46093</v>
      </c>
      <c r="C54" s="30" t="s">
        <v>98</v>
      </c>
      <c r="D54" s="30" t="s">
        <v>99</v>
      </c>
      <c r="E54" s="30" t="s">
        <v>100</v>
      </c>
      <c r="F54" s="30" t="s">
        <v>115</v>
      </c>
      <c r="G54" s="30" t="s">
        <v>107</v>
      </c>
      <c r="H54" s="28" t="n">
        <v>6</v>
      </c>
      <c r="I54" s="31" t="n">
        <v>89.9</v>
      </c>
      <c r="J54" s="31" t="n">
        <v>41</v>
      </c>
      <c r="K54" s="31" t="n">
        <f aca="false">H54*I54</f>
        <v>539.4</v>
      </c>
      <c r="L54" s="31" t="n">
        <f aca="false">H54*J54</f>
        <v>246</v>
      </c>
      <c r="M54" s="31" t="n">
        <f aca="false">K54-L54</f>
        <v>293.4</v>
      </c>
      <c r="N54" s="28" t="n">
        <f aca="false">MONTH(B54)</f>
        <v>3</v>
      </c>
    </row>
    <row r="55" customFormat="false" ht="15" hidden="false" customHeight="false" outlineLevel="0" collapsed="false">
      <c r="A55" s="32" t="n">
        <v>1054</v>
      </c>
      <c r="B55" s="33" t="n">
        <v>46136</v>
      </c>
      <c r="C55" s="34" t="s">
        <v>109</v>
      </c>
      <c r="D55" s="34" t="s">
        <v>110</v>
      </c>
      <c r="E55" s="34" t="s">
        <v>111</v>
      </c>
      <c r="F55" s="34" t="s">
        <v>106</v>
      </c>
      <c r="G55" s="34" t="s">
        <v>107</v>
      </c>
      <c r="H55" s="32" t="n">
        <v>1</v>
      </c>
      <c r="I55" s="35" t="n">
        <v>129.9</v>
      </c>
      <c r="J55" s="35" t="n">
        <v>61</v>
      </c>
      <c r="K55" s="35" t="n">
        <f aca="false">H55*I55</f>
        <v>129.9</v>
      </c>
      <c r="L55" s="35" t="n">
        <f aca="false">H55*J55</f>
        <v>61</v>
      </c>
      <c r="M55" s="35" t="n">
        <f aca="false">K55-L55</f>
        <v>68.9</v>
      </c>
      <c r="N55" s="32" t="n">
        <f aca="false">MONTH(B55)</f>
        <v>4</v>
      </c>
    </row>
    <row r="56" customFormat="false" ht="15" hidden="false" customHeight="false" outlineLevel="0" collapsed="false">
      <c r="A56" s="28" t="n">
        <v>1055</v>
      </c>
      <c r="B56" s="29" t="n">
        <v>46199</v>
      </c>
      <c r="C56" s="30" t="s">
        <v>124</v>
      </c>
      <c r="D56" s="30" t="s">
        <v>104</v>
      </c>
      <c r="E56" s="30" t="s">
        <v>116</v>
      </c>
      <c r="F56" s="30" t="s">
        <v>117</v>
      </c>
      <c r="G56" s="30" t="s">
        <v>107</v>
      </c>
      <c r="H56" s="28" t="n">
        <v>5</v>
      </c>
      <c r="I56" s="31" t="n">
        <v>249.9</v>
      </c>
      <c r="J56" s="31" t="n">
        <v>155</v>
      </c>
      <c r="K56" s="31" t="n">
        <f aca="false">H56*I56</f>
        <v>1249.5</v>
      </c>
      <c r="L56" s="31" t="n">
        <f aca="false">H56*J56</f>
        <v>775</v>
      </c>
      <c r="M56" s="31" t="n">
        <f aca="false">K56-L56</f>
        <v>474.5</v>
      </c>
      <c r="N56" s="28" t="n">
        <f aca="false">MONTH(B56)</f>
        <v>6</v>
      </c>
    </row>
    <row r="57" customFormat="false" ht="15" hidden="false" customHeight="false" outlineLevel="0" collapsed="false">
      <c r="A57" s="32" t="n">
        <v>1056</v>
      </c>
      <c r="B57" s="33" t="n">
        <v>46055</v>
      </c>
      <c r="C57" s="34" t="s">
        <v>98</v>
      </c>
      <c r="D57" s="34" t="s">
        <v>99</v>
      </c>
      <c r="E57" s="34" t="s">
        <v>100</v>
      </c>
      <c r="F57" s="34" t="s">
        <v>101</v>
      </c>
      <c r="G57" s="34" t="s">
        <v>102</v>
      </c>
      <c r="H57" s="32" t="n">
        <v>3</v>
      </c>
      <c r="I57" s="35" t="n">
        <v>89.9</v>
      </c>
      <c r="J57" s="35" t="n">
        <v>41</v>
      </c>
      <c r="K57" s="35" t="n">
        <f aca="false">H57*I57</f>
        <v>269.7</v>
      </c>
      <c r="L57" s="35" t="n">
        <f aca="false">H57*J57</f>
        <v>123</v>
      </c>
      <c r="M57" s="35" t="n">
        <f aca="false">K57-L57</f>
        <v>146.7</v>
      </c>
      <c r="N57" s="32" t="n">
        <f aca="false">MONTH(B57)</f>
        <v>2</v>
      </c>
    </row>
    <row r="58" customFormat="false" ht="15" hidden="false" customHeight="false" outlineLevel="0" collapsed="false">
      <c r="A58" s="28" t="n">
        <v>1057</v>
      </c>
      <c r="B58" s="29" t="n">
        <v>46193</v>
      </c>
      <c r="C58" s="30" t="s">
        <v>98</v>
      </c>
      <c r="D58" s="30" t="s">
        <v>110</v>
      </c>
      <c r="E58" s="30" t="s">
        <v>111</v>
      </c>
      <c r="F58" s="30" t="s">
        <v>101</v>
      </c>
      <c r="G58" s="30" t="s">
        <v>113</v>
      </c>
      <c r="H58" s="28" t="n">
        <v>6</v>
      </c>
      <c r="I58" s="31" t="n">
        <v>129.9</v>
      </c>
      <c r="J58" s="31" t="n">
        <v>61</v>
      </c>
      <c r="K58" s="31" t="n">
        <f aca="false">H58*I58</f>
        <v>779.4</v>
      </c>
      <c r="L58" s="31" t="n">
        <f aca="false">H58*J58</f>
        <v>366</v>
      </c>
      <c r="M58" s="31" t="n">
        <f aca="false">K58-L58</f>
        <v>413.4</v>
      </c>
      <c r="N58" s="28" t="n">
        <f aca="false">MONTH(B58)</f>
        <v>6</v>
      </c>
    </row>
    <row r="59" customFormat="false" ht="15" hidden="false" customHeight="false" outlineLevel="0" collapsed="false">
      <c r="A59" s="32" t="n">
        <v>1058</v>
      </c>
      <c r="B59" s="33" t="n">
        <v>46083</v>
      </c>
      <c r="C59" s="34" t="s">
        <v>124</v>
      </c>
      <c r="D59" s="34" t="s">
        <v>121</v>
      </c>
      <c r="E59" s="34" t="s">
        <v>125</v>
      </c>
      <c r="F59" s="34" t="s">
        <v>101</v>
      </c>
      <c r="G59" s="34" t="s">
        <v>102</v>
      </c>
      <c r="H59" s="32" t="n">
        <v>1</v>
      </c>
      <c r="I59" s="35" t="n">
        <v>49.9</v>
      </c>
      <c r="J59" s="35" t="n">
        <v>23</v>
      </c>
      <c r="K59" s="35" t="n">
        <f aca="false">H59*I59</f>
        <v>49.9</v>
      </c>
      <c r="L59" s="35" t="n">
        <f aca="false">H59*J59</f>
        <v>23</v>
      </c>
      <c r="M59" s="35" t="n">
        <f aca="false">K59-L59</f>
        <v>26.9</v>
      </c>
      <c r="N59" s="32" t="n">
        <f aca="false">MONTH(B59)</f>
        <v>3</v>
      </c>
    </row>
    <row r="60" customFormat="false" ht="15" hidden="false" customHeight="false" outlineLevel="0" collapsed="false">
      <c r="A60" s="28" t="n">
        <v>1059</v>
      </c>
      <c r="B60" s="29" t="n">
        <v>46108</v>
      </c>
      <c r="C60" s="30" t="s">
        <v>103</v>
      </c>
      <c r="D60" s="30" t="s">
        <v>110</v>
      </c>
      <c r="E60" s="30" t="s">
        <v>111</v>
      </c>
      <c r="F60" s="30" t="s">
        <v>108</v>
      </c>
      <c r="G60" s="30" t="s">
        <v>113</v>
      </c>
      <c r="H60" s="28" t="n">
        <v>7</v>
      </c>
      <c r="I60" s="31" t="n">
        <v>129.9</v>
      </c>
      <c r="J60" s="31" t="n">
        <v>61</v>
      </c>
      <c r="K60" s="31" t="n">
        <f aca="false">H60*I60</f>
        <v>909.3</v>
      </c>
      <c r="L60" s="31" t="n">
        <f aca="false">H60*J60</f>
        <v>427</v>
      </c>
      <c r="M60" s="31" t="n">
        <f aca="false">K60-L60</f>
        <v>482.3</v>
      </c>
      <c r="N60" s="28" t="n">
        <f aca="false">MONTH(B60)</f>
        <v>3</v>
      </c>
    </row>
    <row r="61" customFormat="false" ht="15" hidden="false" customHeight="false" outlineLevel="0" collapsed="false">
      <c r="A61" s="32" t="n">
        <v>1060</v>
      </c>
      <c r="B61" s="33" t="n">
        <v>46091</v>
      </c>
      <c r="C61" s="34" t="s">
        <v>98</v>
      </c>
      <c r="D61" s="34" t="s">
        <v>104</v>
      </c>
      <c r="E61" s="34" t="s">
        <v>116</v>
      </c>
      <c r="F61" s="34" t="s">
        <v>106</v>
      </c>
      <c r="G61" s="34" t="s">
        <v>113</v>
      </c>
      <c r="H61" s="32" t="n">
        <v>7</v>
      </c>
      <c r="I61" s="35" t="n">
        <v>249.9</v>
      </c>
      <c r="J61" s="35" t="n">
        <v>155</v>
      </c>
      <c r="K61" s="35" t="n">
        <f aca="false">H61*I61</f>
        <v>1749.3</v>
      </c>
      <c r="L61" s="35" t="n">
        <f aca="false">H61*J61</f>
        <v>1085</v>
      </c>
      <c r="M61" s="35" t="n">
        <f aca="false">K61-L61</f>
        <v>664.3</v>
      </c>
      <c r="N61" s="32" t="n">
        <f aca="false">MONTH(B61)</f>
        <v>3</v>
      </c>
    </row>
    <row r="62" customFormat="false" ht="15" hidden="false" customHeight="false" outlineLevel="0" collapsed="false">
      <c r="A62" s="28" t="n">
        <v>1061</v>
      </c>
      <c r="B62" s="29" t="n">
        <v>46079</v>
      </c>
      <c r="C62" s="30" t="s">
        <v>98</v>
      </c>
      <c r="D62" s="30" t="s">
        <v>110</v>
      </c>
      <c r="E62" s="30" t="s">
        <v>119</v>
      </c>
      <c r="F62" s="30" t="s">
        <v>101</v>
      </c>
      <c r="G62" s="30" t="s">
        <v>107</v>
      </c>
      <c r="H62" s="28" t="n">
        <v>3</v>
      </c>
      <c r="I62" s="31" t="n">
        <v>119.9</v>
      </c>
      <c r="J62" s="31" t="n">
        <v>55</v>
      </c>
      <c r="K62" s="31" t="n">
        <f aca="false">H62*I62</f>
        <v>359.7</v>
      </c>
      <c r="L62" s="31" t="n">
        <f aca="false">H62*J62</f>
        <v>165</v>
      </c>
      <c r="M62" s="31" t="n">
        <f aca="false">K62-L62</f>
        <v>194.7</v>
      </c>
      <c r="N62" s="28" t="n">
        <f aca="false">MONTH(B62)</f>
        <v>2</v>
      </c>
    </row>
    <row r="63" customFormat="false" ht="15" hidden="false" customHeight="false" outlineLevel="0" collapsed="false">
      <c r="A63" s="32" t="n">
        <v>1062</v>
      </c>
      <c r="B63" s="33" t="n">
        <v>46191</v>
      </c>
      <c r="C63" s="34" t="s">
        <v>98</v>
      </c>
      <c r="D63" s="34" t="s">
        <v>99</v>
      </c>
      <c r="E63" s="34" t="s">
        <v>112</v>
      </c>
      <c r="F63" s="34" t="s">
        <v>106</v>
      </c>
      <c r="G63" s="34" t="s">
        <v>113</v>
      </c>
      <c r="H63" s="32" t="n">
        <v>7</v>
      </c>
      <c r="I63" s="35" t="n">
        <v>69.9</v>
      </c>
      <c r="J63" s="35" t="n">
        <v>29</v>
      </c>
      <c r="K63" s="35" t="n">
        <f aca="false">H63*I63</f>
        <v>489.3</v>
      </c>
      <c r="L63" s="35" t="n">
        <f aca="false">H63*J63</f>
        <v>203</v>
      </c>
      <c r="M63" s="35" t="n">
        <f aca="false">K63-L63</f>
        <v>286.3</v>
      </c>
      <c r="N63" s="32" t="n">
        <f aca="false">MONTH(B63)</f>
        <v>6</v>
      </c>
    </row>
    <row r="64" customFormat="false" ht="15" hidden="false" customHeight="false" outlineLevel="0" collapsed="false">
      <c r="A64" s="28" t="n">
        <v>1063</v>
      </c>
      <c r="B64" s="29" t="n">
        <v>46094</v>
      </c>
      <c r="C64" s="30" t="s">
        <v>109</v>
      </c>
      <c r="D64" s="30" t="s">
        <v>110</v>
      </c>
      <c r="E64" s="30" t="s">
        <v>111</v>
      </c>
      <c r="F64" s="30" t="s">
        <v>117</v>
      </c>
      <c r="G64" s="30" t="s">
        <v>107</v>
      </c>
      <c r="H64" s="28" t="n">
        <v>7</v>
      </c>
      <c r="I64" s="31" t="n">
        <v>129.9</v>
      </c>
      <c r="J64" s="31" t="n">
        <v>61</v>
      </c>
      <c r="K64" s="31" t="n">
        <f aca="false">H64*I64</f>
        <v>909.3</v>
      </c>
      <c r="L64" s="31" t="n">
        <f aca="false">H64*J64</f>
        <v>427</v>
      </c>
      <c r="M64" s="31" t="n">
        <f aca="false">K64-L64</f>
        <v>482.3</v>
      </c>
      <c r="N64" s="28" t="n">
        <f aca="false">MONTH(B64)</f>
        <v>3</v>
      </c>
    </row>
    <row r="65" customFormat="false" ht="15" hidden="false" customHeight="false" outlineLevel="0" collapsed="false">
      <c r="A65" s="32" t="n">
        <v>1064</v>
      </c>
      <c r="B65" s="33" t="n">
        <v>46030</v>
      </c>
      <c r="C65" s="34" t="s">
        <v>98</v>
      </c>
      <c r="D65" s="34" t="s">
        <v>99</v>
      </c>
      <c r="E65" s="34" t="s">
        <v>100</v>
      </c>
      <c r="F65" s="34" t="s">
        <v>115</v>
      </c>
      <c r="G65" s="34" t="s">
        <v>107</v>
      </c>
      <c r="H65" s="32" t="n">
        <v>5</v>
      </c>
      <c r="I65" s="35" t="n">
        <v>89.9</v>
      </c>
      <c r="J65" s="35" t="n">
        <v>41</v>
      </c>
      <c r="K65" s="35" t="n">
        <f aca="false">H65*I65</f>
        <v>449.5</v>
      </c>
      <c r="L65" s="35" t="n">
        <f aca="false">H65*J65</f>
        <v>205</v>
      </c>
      <c r="M65" s="35" t="n">
        <f aca="false">K65-L65</f>
        <v>244.5</v>
      </c>
      <c r="N65" s="32" t="n">
        <f aca="false">MONTH(B65)</f>
        <v>1</v>
      </c>
    </row>
    <row r="66" customFormat="false" ht="15" hidden="false" customHeight="false" outlineLevel="0" collapsed="false">
      <c r="A66" s="28" t="n">
        <v>1065</v>
      </c>
      <c r="B66" s="29" t="n">
        <v>46175</v>
      </c>
      <c r="C66" s="30" t="s">
        <v>109</v>
      </c>
      <c r="D66" s="30" t="s">
        <v>99</v>
      </c>
      <c r="E66" s="30" t="s">
        <v>112</v>
      </c>
      <c r="F66" s="30" t="s">
        <v>117</v>
      </c>
      <c r="G66" s="30" t="s">
        <v>107</v>
      </c>
      <c r="H66" s="28" t="n">
        <v>5</v>
      </c>
      <c r="I66" s="31" t="n">
        <v>69.9</v>
      </c>
      <c r="J66" s="31" t="n">
        <v>29</v>
      </c>
      <c r="K66" s="31" t="n">
        <f aca="false">H66*I66</f>
        <v>349.5</v>
      </c>
      <c r="L66" s="31" t="n">
        <f aca="false">H66*J66</f>
        <v>145</v>
      </c>
      <c r="M66" s="31" t="n">
        <f aca="false">K66-L66</f>
        <v>204.5</v>
      </c>
      <c r="N66" s="28" t="n">
        <f aca="false">MONTH(B66)</f>
        <v>6</v>
      </c>
    </row>
    <row r="67" customFormat="false" ht="15" hidden="false" customHeight="false" outlineLevel="0" collapsed="false">
      <c r="A67" s="32" t="n">
        <v>1066</v>
      </c>
      <c r="B67" s="33" t="n">
        <v>46170</v>
      </c>
      <c r="C67" s="34" t="s">
        <v>98</v>
      </c>
      <c r="D67" s="34" t="s">
        <v>104</v>
      </c>
      <c r="E67" s="34" t="s">
        <v>105</v>
      </c>
      <c r="F67" s="34" t="s">
        <v>106</v>
      </c>
      <c r="G67" s="34" t="s">
        <v>102</v>
      </c>
      <c r="H67" s="32" t="n">
        <v>4</v>
      </c>
      <c r="I67" s="35" t="n">
        <v>99.9</v>
      </c>
      <c r="J67" s="35" t="n">
        <v>52</v>
      </c>
      <c r="K67" s="35" t="n">
        <f aca="false">H67*I67</f>
        <v>399.6</v>
      </c>
      <c r="L67" s="35" t="n">
        <f aca="false">H67*J67</f>
        <v>208</v>
      </c>
      <c r="M67" s="35" t="n">
        <f aca="false">K67-L67</f>
        <v>191.6</v>
      </c>
      <c r="N67" s="32" t="n">
        <f aca="false">MONTH(B67)</f>
        <v>5</v>
      </c>
    </row>
    <row r="68" customFormat="false" ht="15" hidden="false" customHeight="false" outlineLevel="0" collapsed="false">
      <c r="A68" s="28" t="n">
        <v>1067</v>
      </c>
      <c r="B68" s="29" t="n">
        <v>46160</v>
      </c>
      <c r="C68" s="30" t="s">
        <v>103</v>
      </c>
      <c r="D68" s="30" t="s">
        <v>121</v>
      </c>
      <c r="E68" s="30" t="s">
        <v>125</v>
      </c>
      <c r="F68" s="30" t="s">
        <v>106</v>
      </c>
      <c r="G68" s="30" t="s">
        <v>113</v>
      </c>
      <c r="H68" s="28" t="n">
        <v>4</v>
      </c>
      <c r="I68" s="31" t="n">
        <v>49.9</v>
      </c>
      <c r="J68" s="31" t="n">
        <v>23</v>
      </c>
      <c r="K68" s="31" t="n">
        <f aca="false">H68*I68</f>
        <v>199.6</v>
      </c>
      <c r="L68" s="31" t="n">
        <f aca="false">H68*J68</f>
        <v>92</v>
      </c>
      <c r="M68" s="31" t="n">
        <f aca="false">K68-L68</f>
        <v>107.6</v>
      </c>
      <c r="N68" s="28" t="n">
        <f aca="false">MONTH(B68)</f>
        <v>5</v>
      </c>
    </row>
    <row r="69" customFormat="false" ht="15" hidden="false" customHeight="false" outlineLevel="0" collapsed="false">
      <c r="A69" s="32" t="n">
        <v>1068</v>
      </c>
      <c r="B69" s="33" t="n">
        <v>46107</v>
      </c>
      <c r="C69" s="34" t="s">
        <v>109</v>
      </c>
      <c r="D69" s="34" t="s">
        <v>104</v>
      </c>
      <c r="E69" s="34" t="s">
        <v>105</v>
      </c>
      <c r="F69" s="34" t="s">
        <v>117</v>
      </c>
      <c r="G69" s="34" t="s">
        <v>107</v>
      </c>
      <c r="H69" s="32" t="n">
        <v>3</v>
      </c>
      <c r="I69" s="35" t="n">
        <v>99.9</v>
      </c>
      <c r="J69" s="35" t="n">
        <v>52</v>
      </c>
      <c r="K69" s="35" t="n">
        <f aca="false">H69*I69</f>
        <v>299.7</v>
      </c>
      <c r="L69" s="35" t="n">
        <f aca="false">H69*J69</f>
        <v>156</v>
      </c>
      <c r="M69" s="35" t="n">
        <f aca="false">K69-L69</f>
        <v>143.7</v>
      </c>
      <c r="N69" s="32" t="n">
        <f aca="false">MONTH(B69)</f>
        <v>3</v>
      </c>
    </row>
    <row r="70" customFormat="false" ht="15" hidden="false" customHeight="false" outlineLevel="0" collapsed="false">
      <c r="A70" s="28" t="n">
        <v>1069</v>
      </c>
      <c r="B70" s="29" t="n">
        <v>46127</v>
      </c>
      <c r="C70" s="30" t="s">
        <v>109</v>
      </c>
      <c r="D70" s="30" t="s">
        <v>99</v>
      </c>
      <c r="E70" s="30" t="s">
        <v>118</v>
      </c>
      <c r="F70" s="30" t="s">
        <v>101</v>
      </c>
      <c r="G70" s="30" t="s">
        <v>107</v>
      </c>
      <c r="H70" s="28" t="n">
        <v>2</v>
      </c>
      <c r="I70" s="31" t="n">
        <v>159.9</v>
      </c>
      <c r="J70" s="31" t="n">
        <v>86</v>
      </c>
      <c r="K70" s="31" t="n">
        <f aca="false">H70*I70</f>
        <v>319.8</v>
      </c>
      <c r="L70" s="31" t="n">
        <f aca="false">H70*J70</f>
        <v>172</v>
      </c>
      <c r="M70" s="31" t="n">
        <f aca="false">K70-L70</f>
        <v>147.8</v>
      </c>
      <c r="N70" s="28" t="n">
        <f aca="false">MONTH(B70)</f>
        <v>4</v>
      </c>
    </row>
    <row r="71" customFormat="false" ht="15" hidden="false" customHeight="false" outlineLevel="0" collapsed="false">
      <c r="A71" s="32" t="n">
        <v>1070</v>
      </c>
      <c r="B71" s="33" t="n">
        <v>46120</v>
      </c>
      <c r="C71" s="34" t="s">
        <v>103</v>
      </c>
      <c r="D71" s="34" t="s">
        <v>121</v>
      </c>
      <c r="E71" s="34" t="s">
        <v>122</v>
      </c>
      <c r="F71" s="34" t="s">
        <v>115</v>
      </c>
      <c r="G71" s="34" t="s">
        <v>107</v>
      </c>
      <c r="H71" s="32" t="n">
        <v>5</v>
      </c>
      <c r="I71" s="35" t="n">
        <v>199.9</v>
      </c>
      <c r="J71" s="35" t="n">
        <v>118</v>
      </c>
      <c r="K71" s="35" t="n">
        <f aca="false">H71*I71</f>
        <v>999.5</v>
      </c>
      <c r="L71" s="35" t="n">
        <f aca="false">H71*J71</f>
        <v>590</v>
      </c>
      <c r="M71" s="35" t="n">
        <f aca="false">K71-L71</f>
        <v>409.5</v>
      </c>
      <c r="N71" s="32" t="n">
        <f aca="false">MONTH(B71)</f>
        <v>4</v>
      </c>
    </row>
    <row r="72" customFormat="false" ht="15" hidden="false" customHeight="false" outlineLevel="0" collapsed="false">
      <c r="A72" s="28" t="n">
        <v>1071</v>
      </c>
      <c r="B72" s="29" t="n">
        <v>46023</v>
      </c>
      <c r="C72" s="30" t="s">
        <v>109</v>
      </c>
      <c r="D72" s="30" t="s">
        <v>121</v>
      </c>
      <c r="E72" s="30" t="s">
        <v>125</v>
      </c>
      <c r="F72" s="30" t="s">
        <v>117</v>
      </c>
      <c r="G72" s="30" t="s">
        <v>102</v>
      </c>
      <c r="H72" s="28" t="n">
        <v>7</v>
      </c>
      <c r="I72" s="31" t="n">
        <v>49.9</v>
      </c>
      <c r="J72" s="31" t="n">
        <v>23</v>
      </c>
      <c r="K72" s="31" t="n">
        <f aca="false">H72*I72</f>
        <v>349.3</v>
      </c>
      <c r="L72" s="31" t="n">
        <f aca="false">H72*J72</f>
        <v>161</v>
      </c>
      <c r="M72" s="31" t="n">
        <f aca="false">K72-L72</f>
        <v>188.3</v>
      </c>
      <c r="N72" s="28" t="n">
        <f aca="false">MONTH(B72)</f>
        <v>1</v>
      </c>
    </row>
    <row r="73" customFormat="false" ht="15" hidden="false" customHeight="false" outlineLevel="0" collapsed="false">
      <c r="A73" s="32" t="n">
        <v>1072</v>
      </c>
      <c r="B73" s="33" t="n">
        <v>46105</v>
      </c>
      <c r="C73" s="34" t="s">
        <v>109</v>
      </c>
      <c r="D73" s="34" t="s">
        <v>110</v>
      </c>
      <c r="E73" s="34" t="s">
        <v>111</v>
      </c>
      <c r="F73" s="34" t="s">
        <v>117</v>
      </c>
      <c r="G73" s="34" t="s">
        <v>102</v>
      </c>
      <c r="H73" s="32" t="n">
        <v>2</v>
      </c>
      <c r="I73" s="35" t="n">
        <v>129.9</v>
      </c>
      <c r="J73" s="35" t="n">
        <v>61</v>
      </c>
      <c r="K73" s="35" t="n">
        <f aca="false">H73*I73</f>
        <v>259.8</v>
      </c>
      <c r="L73" s="35" t="n">
        <f aca="false">H73*J73</f>
        <v>122</v>
      </c>
      <c r="M73" s="35" t="n">
        <f aca="false">K73-L73</f>
        <v>137.8</v>
      </c>
      <c r="N73" s="32" t="n">
        <f aca="false">MONTH(B73)</f>
        <v>3</v>
      </c>
    </row>
    <row r="74" customFormat="false" ht="15" hidden="false" customHeight="false" outlineLevel="0" collapsed="false">
      <c r="A74" s="28" t="n">
        <v>1073</v>
      </c>
      <c r="B74" s="29" t="n">
        <v>46066</v>
      </c>
      <c r="C74" s="30" t="s">
        <v>103</v>
      </c>
      <c r="D74" s="30" t="s">
        <v>99</v>
      </c>
      <c r="E74" s="30" t="s">
        <v>118</v>
      </c>
      <c r="F74" s="30" t="s">
        <v>108</v>
      </c>
      <c r="G74" s="30" t="s">
        <v>102</v>
      </c>
      <c r="H74" s="28" t="n">
        <v>6</v>
      </c>
      <c r="I74" s="31" t="n">
        <v>159.9</v>
      </c>
      <c r="J74" s="31" t="n">
        <v>86</v>
      </c>
      <c r="K74" s="31" t="n">
        <f aca="false">H74*I74</f>
        <v>959.4</v>
      </c>
      <c r="L74" s="31" t="n">
        <f aca="false">H74*J74</f>
        <v>516</v>
      </c>
      <c r="M74" s="31" t="n">
        <f aca="false">K74-L74</f>
        <v>443.4</v>
      </c>
      <c r="N74" s="28" t="n">
        <f aca="false">MONTH(B74)</f>
        <v>2</v>
      </c>
    </row>
    <row r="75" customFormat="false" ht="15" hidden="false" customHeight="false" outlineLevel="0" collapsed="false">
      <c r="A75" s="32" t="n">
        <v>1074</v>
      </c>
      <c r="B75" s="33" t="n">
        <v>46046</v>
      </c>
      <c r="C75" s="34" t="s">
        <v>103</v>
      </c>
      <c r="D75" s="34" t="s">
        <v>121</v>
      </c>
      <c r="E75" s="34" t="s">
        <v>122</v>
      </c>
      <c r="F75" s="34" t="s">
        <v>101</v>
      </c>
      <c r="G75" s="34" t="s">
        <v>113</v>
      </c>
      <c r="H75" s="32" t="n">
        <v>3</v>
      </c>
      <c r="I75" s="35" t="n">
        <v>199.9</v>
      </c>
      <c r="J75" s="35" t="n">
        <v>118</v>
      </c>
      <c r="K75" s="35" t="n">
        <f aca="false">H75*I75</f>
        <v>599.7</v>
      </c>
      <c r="L75" s="35" t="n">
        <f aca="false">H75*J75</f>
        <v>354</v>
      </c>
      <c r="M75" s="35" t="n">
        <f aca="false">K75-L75</f>
        <v>245.7</v>
      </c>
      <c r="N75" s="32" t="n">
        <f aca="false">MONTH(B75)</f>
        <v>1</v>
      </c>
    </row>
    <row r="76" customFormat="false" ht="15" hidden="false" customHeight="false" outlineLevel="0" collapsed="false">
      <c r="A76" s="28" t="n">
        <v>1075</v>
      </c>
      <c r="B76" s="29" t="n">
        <v>46060</v>
      </c>
      <c r="C76" s="30" t="s">
        <v>98</v>
      </c>
      <c r="D76" s="30" t="s">
        <v>121</v>
      </c>
      <c r="E76" s="30" t="s">
        <v>125</v>
      </c>
      <c r="F76" s="30" t="s">
        <v>106</v>
      </c>
      <c r="G76" s="30" t="s">
        <v>102</v>
      </c>
      <c r="H76" s="28" t="n">
        <v>5</v>
      </c>
      <c r="I76" s="31" t="n">
        <v>49.9</v>
      </c>
      <c r="J76" s="31" t="n">
        <v>23</v>
      </c>
      <c r="K76" s="31" t="n">
        <f aca="false">H76*I76</f>
        <v>249.5</v>
      </c>
      <c r="L76" s="31" t="n">
        <f aca="false">H76*J76</f>
        <v>115</v>
      </c>
      <c r="M76" s="31" t="n">
        <f aca="false">K76-L76</f>
        <v>134.5</v>
      </c>
      <c r="N76" s="28" t="n">
        <f aca="false">MONTH(B76)</f>
        <v>2</v>
      </c>
    </row>
    <row r="77" customFormat="false" ht="15" hidden="false" customHeight="false" outlineLevel="0" collapsed="false">
      <c r="A77" s="32" t="n">
        <v>1076</v>
      </c>
      <c r="B77" s="33" t="n">
        <v>46184</v>
      </c>
      <c r="C77" s="34" t="s">
        <v>109</v>
      </c>
      <c r="D77" s="34" t="s">
        <v>110</v>
      </c>
      <c r="E77" s="34" t="s">
        <v>119</v>
      </c>
      <c r="F77" s="34" t="s">
        <v>101</v>
      </c>
      <c r="G77" s="34" t="s">
        <v>107</v>
      </c>
      <c r="H77" s="32" t="n">
        <v>4</v>
      </c>
      <c r="I77" s="35" t="n">
        <v>119.9</v>
      </c>
      <c r="J77" s="35" t="n">
        <v>55</v>
      </c>
      <c r="K77" s="35" t="n">
        <f aca="false">H77*I77</f>
        <v>479.6</v>
      </c>
      <c r="L77" s="35" t="n">
        <f aca="false">H77*J77</f>
        <v>220</v>
      </c>
      <c r="M77" s="35" t="n">
        <f aca="false">K77-L77</f>
        <v>259.6</v>
      </c>
      <c r="N77" s="32" t="n">
        <f aca="false">MONTH(B77)</f>
        <v>6</v>
      </c>
    </row>
    <row r="78" customFormat="false" ht="15" hidden="false" customHeight="false" outlineLevel="0" collapsed="false">
      <c r="A78" s="28" t="n">
        <v>1077</v>
      </c>
      <c r="B78" s="29" t="n">
        <v>46199</v>
      </c>
      <c r="C78" s="30" t="s">
        <v>98</v>
      </c>
      <c r="D78" s="30" t="s">
        <v>104</v>
      </c>
      <c r="E78" s="30" t="s">
        <v>116</v>
      </c>
      <c r="F78" s="30" t="s">
        <v>101</v>
      </c>
      <c r="G78" s="30" t="s">
        <v>113</v>
      </c>
      <c r="H78" s="28" t="n">
        <v>2</v>
      </c>
      <c r="I78" s="31" t="n">
        <v>249.9</v>
      </c>
      <c r="J78" s="31" t="n">
        <v>155</v>
      </c>
      <c r="K78" s="31" t="n">
        <f aca="false">H78*I78</f>
        <v>499.8</v>
      </c>
      <c r="L78" s="31" t="n">
        <f aca="false">H78*J78</f>
        <v>310</v>
      </c>
      <c r="M78" s="31" t="n">
        <f aca="false">K78-L78</f>
        <v>189.8</v>
      </c>
      <c r="N78" s="28" t="n">
        <f aca="false">MONTH(B78)</f>
        <v>6</v>
      </c>
    </row>
    <row r="79" customFormat="false" ht="15" hidden="false" customHeight="false" outlineLevel="0" collapsed="false">
      <c r="A79" s="32" t="n">
        <v>1078</v>
      </c>
      <c r="B79" s="33" t="n">
        <v>46201</v>
      </c>
      <c r="C79" s="34" t="s">
        <v>109</v>
      </c>
      <c r="D79" s="34" t="s">
        <v>104</v>
      </c>
      <c r="E79" s="34" t="s">
        <v>105</v>
      </c>
      <c r="F79" s="34" t="s">
        <v>106</v>
      </c>
      <c r="G79" s="34" t="s">
        <v>102</v>
      </c>
      <c r="H79" s="32" t="n">
        <v>2</v>
      </c>
      <c r="I79" s="35" t="n">
        <v>99.9</v>
      </c>
      <c r="J79" s="35" t="n">
        <v>52</v>
      </c>
      <c r="K79" s="35" t="n">
        <f aca="false">H79*I79</f>
        <v>199.8</v>
      </c>
      <c r="L79" s="35" t="n">
        <f aca="false">H79*J79</f>
        <v>104</v>
      </c>
      <c r="M79" s="35" t="n">
        <f aca="false">K79-L79</f>
        <v>95.8</v>
      </c>
      <c r="N79" s="32" t="n">
        <f aca="false">MONTH(B79)</f>
        <v>6</v>
      </c>
    </row>
    <row r="80" customFormat="false" ht="15" hidden="false" customHeight="false" outlineLevel="0" collapsed="false">
      <c r="A80" s="28" t="n">
        <v>1079</v>
      </c>
      <c r="B80" s="29" t="n">
        <v>46141</v>
      </c>
      <c r="C80" s="30" t="s">
        <v>103</v>
      </c>
      <c r="D80" s="30" t="s">
        <v>99</v>
      </c>
      <c r="E80" s="30" t="s">
        <v>112</v>
      </c>
      <c r="F80" s="30" t="s">
        <v>108</v>
      </c>
      <c r="G80" s="30" t="s">
        <v>113</v>
      </c>
      <c r="H80" s="28" t="n">
        <v>5</v>
      </c>
      <c r="I80" s="31" t="n">
        <v>69.9</v>
      </c>
      <c r="J80" s="31" t="n">
        <v>29</v>
      </c>
      <c r="K80" s="31" t="n">
        <f aca="false">H80*I80</f>
        <v>349.5</v>
      </c>
      <c r="L80" s="31" t="n">
        <f aca="false">H80*J80</f>
        <v>145</v>
      </c>
      <c r="M80" s="31" t="n">
        <f aca="false">K80-L80</f>
        <v>204.5</v>
      </c>
      <c r="N80" s="28" t="n">
        <f aca="false">MONTH(B80)</f>
        <v>4</v>
      </c>
    </row>
    <row r="81" customFormat="false" ht="15" hidden="false" customHeight="false" outlineLevel="0" collapsed="false">
      <c r="A81" s="32" t="n">
        <v>1080</v>
      </c>
      <c r="B81" s="33" t="n">
        <v>46132</v>
      </c>
      <c r="C81" s="34" t="s">
        <v>103</v>
      </c>
      <c r="D81" s="34" t="s">
        <v>110</v>
      </c>
      <c r="E81" s="34" t="s">
        <v>114</v>
      </c>
      <c r="F81" s="34" t="s">
        <v>123</v>
      </c>
      <c r="G81" s="34" t="s">
        <v>102</v>
      </c>
      <c r="H81" s="32" t="n">
        <v>6</v>
      </c>
      <c r="I81" s="35" t="n">
        <v>39.9</v>
      </c>
      <c r="J81" s="35" t="n">
        <v>14</v>
      </c>
      <c r="K81" s="35" t="n">
        <f aca="false">H81*I81</f>
        <v>239.4</v>
      </c>
      <c r="L81" s="35" t="n">
        <f aca="false">H81*J81</f>
        <v>84</v>
      </c>
      <c r="M81" s="35" t="n">
        <f aca="false">K81-L81</f>
        <v>155.4</v>
      </c>
      <c r="N81" s="32" t="n">
        <f aca="false">MONTH(B81)</f>
        <v>4</v>
      </c>
    </row>
    <row r="82" customFormat="false" ht="15" hidden="false" customHeight="false" outlineLevel="0" collapsed="false">
      <c r="A82" s="28" t="n">
        <v>1081</v>
      </c>
      <c r="B82" s="29" t="n">
        <v>46086</v>
      </c>
      <c r="C82" s="30" t="s">
        <v>103</v>
      </c>
      <c r="D82" s="30" t="s">
        <v>99</v>
      </c>
      <c r="E82" s="30" t="s">
        <v>118</v>
      </c>
      <c r="F82" s="30" t="s">
        <v>108</v>
      </c>
      <c r="G82" s="30" t="s">
        <v>107</v>
      </c>
      <c r="H82" s="28" t="n">
        <v>4</v>
      </c>
      <c r="I82" s="31" t="n">
        <v>159.9</v>
      </c>
      <c r="J82" s="31" t="n">
        <v>86</v>
      </c>
      <c r="K82" s="31" t="n">
        <f aca="false">H82*I82</f>
        <v>639.6</v>
      </c>
      <c r="L82" s="31" t="n">
        <f aca="false">H82*J82</f>
        <v>344</v>
      </c>
      <c r="M82" s="31" t="n">
        <f aca="false">K82-L82</f>
        <v>295.6</v>
      </c>
      <c r="N82" s="28" t="n">
        <f aca="false">MONTH(B82)</f>
        <v>3</v>
      </c>
    </row>
    <row r="83" customFormat="false" ht="15" hidden="false" customHeight="false" outlineLevel="0" collapsed="false">
      <c r="A83" s="32" t="n">
        <v>1082</v>
      </c>
      <c r="B83" s="33" t="n">
        <v>46135</v>
      </c>
      <c r="C83" s="34" t="s">
        <v>98</v>
      </c>
      <c r="D83" s="34" t="s">
        <v>99</v>
      </c>
      <c r="E83" s="34" t="s">
        <v>100</v>
      </c>
      <c r="F83" s="34" t="s">
        <v>115</v>
      </c>
      <c r="G83" s="34" t="s">
        <v>107</v>
      </c>
      <c r="H83" s="32" t="n">
        <v>3</v>
      </c>
      <c r="I83" s="35" t="n">
        <v>89.9</v>
      </c>
      <c r="J83" s="35" t="n">
        <v>41</v>
      </c>
      <c r="K83" s="35" t="n">
        <f aca="false">H83*I83</f>
        <v>269.7</v>
      </c>
      <c r="L83" s="35" t="n">
        <f aca="false">H83*J83</f>
        <v>123</v>
      </c>
      <c r="M83" s="35" t="n">
        <f aca="false">K83-L83</f>
        <v>146.7</v>
      </c>
      <c r="N83" s="32" t="n">
        <f aca="false">MONTH(B83)</f>
        <v>4</v>
      </c>
    </row>
    <row r="84" customFormat="false" ht="15" hidden="false" customHeight="false" outlineLevel="0" collapsed="false">
      <c r="A84" s="28" t="n">
        <v>1083</v>
      </c>
      <c r="B84" s="29" t="n">
        <v>46161</v>
      </c>
      <c r="C84" s="30" t="s">
        <v>98</v>
      </c>
      <c r="D84" s="30" t="s">
        <v>121</v>
      </c>
      <c r="E84" s="30" t="s">
        <v>126</v>
      </c>
      <c r="F84" s="30" t="s">
        <v>108</v>
      </c>
      <c r="G84" s="30" t="s">
        <v>107</v>
      </c>
      <c r="H84" s="28" t="n">
        <v>4</v>
      </c>
      <c r="I84" s="31" t="n">
        <v>79.9</v>
      </c>
      <c r="J84" s="31" t="n">
        <v>39</v>
      </c>
      <c r="K84" s="31" t="n">
        <f aca="false">H84*I84</f>
        <v>319.6</v>
      </c>
      <c r="L84" s="31" t="n">
        <f aca="false">H84*J84</f>
        <v>156</v>
      </c>
      <c r="M84" s="31" t="n">
        <f aca="false">K84-L84</f>
        <v>163.6</v>
      </c>
      <c r="N84" s="28" t="n">
        <f aca="false">MONTH(B84)</f>
        <v>5</v>
      </c>
    </row>
    <row r="85" customFormat="false" ht="15" hidden="false" customHeight="false" outlineLevel="0" collapsed="false">
      <c r="A85" s="32" t="n">
        <v>1084</v>
      </c>
      <c r="B85" s="33" t="n">
        <v>46077</v>
      </c>
      <c r="C85" s="34" t="s">
        <v>98</v>
      </c>
      <c r="D85" s="34" t="s">
        <v>110</v>
      </c>
      <c r="E85" s="34" t="s">
        <v>119</v>
      </c>
      <c r="F85" s="34" t="s">
        <v>123</v>
      </c>
      <c r="G85" s="34" t="s">
        <v>107</v>
      </c>
      <c r="H85" s="32" t="n">
        <v>5</v>
      </c>
      <c r="I85" s="35" t="n">
        <v>119.9</v>
      </c>
      <c r="J85" s="35" t="n">
        <v>55</v>
      </c>
      <c r="K85" s="35" t="n">
        <f aca="false">H85*I85</f>
        <v>599.5</v>
      </c>
      <c r="L85" s="35" t="n">
        <f aca="false">H85*J85</f>
        <v>275</v>
      </c>
      <c r="M85" s="35" t="n">
        <f aca="false">K85-L85</f>
        <v>324.5</v>
      </c>
      <c r="N85" s="32" t="n">
        <f aca="false">MONTH(B85)</f>
        <v>2</v>
      </c>
    </row>
    <row r="86" customFormat="false" ht="15" hidden="false" customHeight="false" outlineLevel="0" collapsed="false">
      <c r="A86" s="28" t="n">
        <v>1085</v>
      </c>
      <c r="B86" s="29" t="n">
        <v>46075</v>
      </c>
      <c r="C86" s="30" t="s">
        <v>103</v>
      </c>
      <c r="D86" s="30" t="s">
        <v>110</v>
      </c>
      <c r="E86" s="30" t="s">
        <v>111</v>
      </c>
      <c r="F86" s="30" t="s">
        <v>106</v>
      </c>
      <c r="G86" s="30" t="s">
        <v>113</v>
      </c>
      <c r="H86" s="28" t="n">
        <v>6</v>
      </c>
      <c r="I86" s="31" t="n">
        <v>129.9</v>
      </c>
      <c r="J86" s="31" t="n">
        <v>61</v>
      </c>
      <c r="K86" s="31" t="n">
        <f aca="false">H86*I86</f>
        <v>779.4</v>
      </c>
      <c r="L86" s="31" t="n">
        <f aca="false">H86*J86</f>
        <v>366</v>
      </c>
      <c r="M86" s="31" t="n">
        <f aca="false">K86-L86</f>
        <v>413.4</v>
      </c>
      <c r="N86" s="28" t="n">
        <f aca="false">MONTH(B86)</f>
        <v>2</v>
      </c>
    </row>
    <row r="87" customFormat="false" ht="15" hidden="false" customHeight="false" outlineLevel="0" collapsed="false">
      <c r="A87" s="32" t="n">
        <v>1086</v>
      </c>
      <c r="B87" s="33" t="n">
        <v>46170</v>
      </c>
      <c r="C87" s="34" t="s">
        <v>109</v>
      </c>
      <c r="D87" s="34" t="s">
        <v>104</v>
      </c>
      <c r="E87" s="34" t="s">
        <v>116</v>
      </c>
      <c r="F87" s="34" t="s">
        <v>123</v>
      </c>
      <c r="G87" s="34" t="s">
        <v>113</v>
      </c>
      <c r="H87" s="32" t="n">
        <v>3</v>
      </c>
      <c r="I87" s="35" t="n">
        <v>249.9</v>
      </c>
      <c r="J87" s="35" t="n">
        <v>155</v>
      </c>
      <c r="K87" s="35" t="n">
        <f aca="false">H87*I87</f>
        <v>749.7</v>
      </c>
      <c r="L87" s="35" t="n">
        <f aca="false">H87*J87</f>
        <v>465</v>
      </c>
      <c r="M87" s="35" t="n">
        <f aca="false">K87-L87</f>
        <v>284.7</v>
      </c>
      <c r="N87" s="32" t="n">
        <f aca="false">MONTH(B87)</f>
        <v>5</v>
      </c>
    </row>
    <row r="88" customFormat="false" ht="15" hidden="false" customHeight="false" outlineLevel="0" collapsed="false">
      <c r="A88" s="28" t="n">
        <v>1087</v>
      </c>
      <c r="B88" s="29" t="n">
        <v>46130</v>
      </c>
      <c r="C88" s="30" t="s">
        <v>109</v>
      </c>
      <c r="D88" s="30" t="s">
        <v>121</v>
      </c>
      <c r="E88" s="30" t="s">
        <v>125</v>
      </c>
      <c r="F88" s="30" t="s">
        <v>115</v>
      </c>
      <c r="G88" s="30" t="s">
        <v>107</v>
      </c>
      <c r="H88" s="28" t="n">
        <v>2</v>
      </c>
      <c r="I88" s="31" t="n">
        <v>49.9</v>
      </c>
      <c r="J88" s="31" t="n">
        <v>23</v>
      </c>
      <c r="K88" s="31" t="n">
        <f aca="false">H88*I88</f>
        <v>99.8</v>
      </c>
      <c r="L88" s="31" t="n">
        <f aca="false">H88*J88</f>
        <v>46</v>
      </c>
      <c r="M88" s="31" t="n">
        <f aca="false">K88-L88</f>
        <v>53.8</v>
      </c>
      <c r="N88" s="28" t="n">
        <f aca="false">MONTH(B88)</f>
        <v>4</v>
      </c>
    </row>
    <row r="89" customFormat="false" ht="15" hidden="false" customHeight="false" outlineLevel="0" collapsed="false">
      <c r="A89" s="32" t="n">
        <v>1088</v>
      </c>
      <c r="B89" s="33" t="n">
        <v>46030</v>
      </c>
      <c r="C89" s="34" t="s">
        <v>109</v>
      </c>
      <c r="D89" s="34" t="s">
        <v>110</v>
      </c>
      <c r="E89" s="34" t="s">
        <v>111</v>
      </c>
      <c r="F89" s="34" t="s">
        <v>123</v>
      </c>
      <c r="G89" s="34" t="s">
        <v>113</v>
      </c>
      <c r="H89" s="32" t="n">
        <v>2</v>
      </c>
      <c r="I89" s="35" t="n">
        <v>129.9</v>
      </c>
      <c r="J89" s="35" t="n">
        <v>61</v>
      </c>
      <c r="K89" s="35" t="n">
        <f aca="false">H89*I89</f>
        <v>259.8</v>
      </c>
      <c r="L89" s="35" t="n">
        <f aca="false">H89*J89</f>
        <v>122</v>
      </c>
      <c r="M89" s="35" t="n">
        <f aca="false">K89-L89</f>
        <v>137.8</v>
      </c>
      <c r="N89" s="32" t="n">
        <f aca="false">MONTH(B89)</f>
        <v>1</v>
      </c>
    </row>
    <row r="90" customFormat="false" ht="15" hidden="false" customHeight="false" outlineLevel="0" collapsed="false">
      <c r="A90" s="28" t="n">
        <v>1089</v>
      </c>
      <c r="B90" s="29" t="n">
        <v>46182</v>
      </c>
      <c r="C90" s="30" t="s">
        <v>109</v>
      </c>
      <c r="D90" s="30" t="s">
        <v>110</v>
      </c>
      <c r="E90" s="30" t="s">
        <v>111</v>
      </c>
      <c r="F90" s="30" t="s">
        <v>108</v>
      </c>
      <c r="G90" s="30" t="s">
        <v>107</v>
      </c>
      <c r="H90" s="28" t="n">
        <v>5</v>
      </c>
      <c r="I90" s="31" t="n">
        <v>129.9</v>
      </c>
      <c r="J90" s="31" t="n">
        <v>61</v>
      </c>
      <c r="K90" s="31" t="n">
        <f aca="false">H90*I90</f>
        <v>649.5</v>
      </c>
      <c r="L90" s="31" t="n">
        <f aca="false">H90*J90</f>
        <v>305</v>
      </c>
      <c r="M90" s="31" t="n">
        <f aca="false">K90-L90</f>
        <v>344.5</v>
      </c>
      <c r="N90" s="28" t="n">
        <f aca="false">MONTH(B90)</f>
        <v>6</v>
      </c>
    </row>
    <row r="91" customFormat="false" ht="15" hidden="false" customHeight="false" outlineLevel="0" collapsed="false">
      <c r="A91" s="32" t="n">
        <v>1090</v>
      </c>
      <c r="B91" s="33" t="n">
        <v>46187</v>
      </c>
      <c r="C91" s="34" t="s">
        <v>109</v>
      </c>
      <c r="D91" s="34" t="s">
        <v>110</v>
      </c>
      <c r="E91" s="34" t="s">
        <v>114</v>
      </c>
      <c r="F91" s="34" t="s">
        <v>115</v>
      </c>
      <c r="G91" s="34" t="s">
        <v>107</v>
      </c>
      <c r="H91" s="32" t="n">
        <v>1</v>
      </c>
      <c r="I91" s="35" t="n">
        <v>39.9</v>
      </c>
      <c r="J91" s="35" t="n">
        <v>14</v>
      </c>
      <c r="K91" s="35" t="n">
        <f aca="false">H91*I91</f>
        <v>39.9</v>
      </c>
      <c r="L91" s="35" t="n">
        <f aca="false">H91*J91</f>
        <v>14</v>
      </c>
      <c r="M91" s="35" t="n">
        <f aca="false">K91-L91</f>
        <v>25.9</v>
      </c>
      <c r="N91" s="32" t="n">
        <f aca="false">MONTH(B91)</f>
        <v>6</v>
      </c>
    </row>
    <row r="92" customFormat="false" ht="15" hidden="false" customHeight="false" outlineLevel="0" collapsed="false">
      <c r="A92" s="28" t="n">
        <v>1091</v>
      </c>
      <c r="B92" s="29" t="n">
        <v>46077</v>
      </c>
      <c r="C92" s="30" t="s">
        <v>109</v>
      </c>
      <c r="D92" s="30" t="s">
        <v>99</v>
      </c>
      <c r="E92" s="30" t="s">
        <v>112</v>
      </c>
      <c r="F92" s="30" t="s">
        <v>123</v>
      </c>
      <c r="G92" s="30" t="s">
        <v>107</v>
      </c>
      <c r="H92" s="28" t="n">
        <v>3</v>
      </c>
      <c r="I92" s="31" t="n">
        <v>69.9</v>
      </c>
      <c r="J92" s="31" t="n">
        <v>29</v>
      </c>
      <c r="K92" s="31" t="n">
        <f aca="false">H92*I92</f>
        <v>209.7</v>
      </c>
      <c r="L92" s="31" t="n">
        <f aca="false">H92*J92</f>
        <v>87</v>
      </c>
      <c r="M92" s="31" t="n">
        <f aca="false">K92-L92</f>
        <v>122.7</v>
      </c>
      <c r="N92" s="28" t="n">
        <f aca="false">MONTH(B92)</f>
        <v>2</v>
      </c>
    </row>
    <row r="93" customFormat="false" ht="15" hidden="false" customHeight="false" outlineLevel="0" collapsed="false">
      <c r="A93" s="32" t="n">
        <v>1092</v>
      </c>
      <c r="B93" s="33" t="n">
        <v>46043</v>
      </c>
      <c r="C93" s="34" t="s">
        <v>109</v>
      </c>
      <c r="D93" s="34" t="s">
        <v>104</v>
      </c>
      <c r="E93" s="34" t="s">
        <v>116</v>
      </c>
      <c r="F93" s="34" t="s">
        <v>108</v>
      </c>
      <c r="G93" s="34" t="s">
        <v>107</v>
      </c>
      <c r="H93" s="32" t="n">
        <v>2</v>
      </c>
      <c r="I93" s="35" t="n">
        <v>249.9</v>
      </c>
      <c r="J93" s="35" t="n">
        <v>155</v>
      </c>
      <c r="K93" s="35" t="n">
        <f aca="false">H93*I93</f>
        <v>499.8</v>
      </c>
      <c r="L93" s="35" t="n">
        <f aca="false">H93*J93</f>
        <v>310</v>
      </c>
      <c r="M93" s="35" t="n">
        <f aca="false">K93-L93</f>
        <v>189.8</v>
      </c>
      <c r="N93" s="32" t="n">
        <f aca="false">MONTH(B93)</f>
        <v>1</v>
      </c>
    </row>
    <row r="94" customFormat="false" ht="15" hidden="false" customHeight="false" outlineLevel="0" collapsed="false">
      <c r="A94" s="28" t="n">
        <v>1093</v>
      </c>
      <c r="B94" s="29" t="n">
        <v>46189</v>
      </c>
      <c r="C94" s="30" t="s">
        <v>98</v>
      </c>
      <c r="D94" s="30" t="s">
        <v>104</v>
      </c>
      <c r="E94" s="30" t="s">
        <v>120</v>
      </c>
      <c r="F94" s="30" t="s">
        <v>106</v>
      </c>
      <c r="G94" s="30" t="s">
        <v>102</v>
      </c>
      <c r="H94" s="28" t="n">
        <v>2</v>
      </c>
      <c r="I94" s="31" t="n">
        <v>149.9</v>
      </c>
      <c r="J94" s="31" t="n">
        <v>88</v>
      </c>
      <c r="K94" s="31" t="n">
        <f aca="false">H94*I94</f>
        <v>299.8</v>
      </c>
      <c r="L94" s="31" t="n">
        <f aca="false">H94*J94</f>
        <v>176</v>
      </c>
      <c r="M94" s="31" t="n">
        <f aca="false">K94-L94</f>
        <v>123.8</v>
      </c>
      <c r="N94" s="28" t="n">
        <f aca="false">MONTH(B94)</f>
        <v>6</v>
      </c>
    </row>
    <row r="95" customFormat="false" ht="15" hidden="false" customHeight="false" outlineLevel="0" collapsed="false">
      <c r="A95" s="32" t="n">
        <v>1094</v>
      </c>
      <c r="B95" s="33" t="n">
        <v>46084</v>
      </c>
      <c r="C95" s="34" t="s">
        <v>98</v>
      </c>
      <c r="D95" s="34" t="s">
        <v>104</v>
      </c>
      <c r="E95" s="34" t="s">
        <v>105</v>
      </c>
      <c r="F95" s="34" t="s">
        <v>123</v>
      </c>
      <c r="G95" s="34" t="s">
        <v>102</v>
      </c>
      <c r="H95" s="32" t="n">
        <v>2</v>
      </c>
      <c r="I95" s="35" t="n">
        <v>99.9</v>
      </c>
      <c r="J95" s="35" t="n">
        <v>52</v>
      </c>
      <c r="K95" s="35" t="n">
        <f aca="false">H95*I95</f>
        <v>199.8</v>
      </c>
      <c r="L95" s="35" t="n">
        <f aca="false">H95*J95</f>
        <v>104</v>
      </c>
      <c r="M95" s="35" t="n">
        <f aca="false">K95-L95</f>
        <v>95.8</v>
      </c>
      <c r="N95" s="32" t="n">
        <f aca="false">MONTH(B95)</f>
        <v>3</v>
      </c>
    </row>
    <row r="96" customFormat="false" ht="15" hidden="false" customHeight="false" outlineLevel="0" collapsed="false">
      <c r="A96" s="28" t="n">
        <v>1095</v>
      </c>
      <c r="B96" s="29" t="n">
        <v>46117</v>
      </c>
      <c r="C96" s="30" t="s">
        <v>98</v>
      </c>
      <c r="D96" s="30" t="s">
        <v>104</v>
      </c>
      <c r="E96" s="30" t="s">
        <v>120</v>
      </c>
      <c r="F96" s="30" t="s">
        <v>106</v>
      </c>
      <c r="G96" s="30" t="s">
        <v>102</v>
      </c>
      <c r="H96" s="28" t="n">
        <v>3</v>
      </c>
      <c r="I96" s="31" t="n">
        <v>149.9</v>
      </c>
      <c r="J96" s="31" t="n">
        <v>88</v>
      </c>
      <c r="K96" s="31" t="n">
        <f aca="false">H96*I96</f>
        <v>449.7</v>
      </c>
      <c r="L96" s="31" t="n">
        <f aca="false">H96*J96</f>
        <v>264</v>
      </c>
      <c r="M96" s="31" t="n">
        <f aca="false">K96-L96</f>
        <v>185.7</v>
      </c>
      <c r="N96" s="28" t="n">
        <f aca="false">MONTH(B96)</f>
        <v>4</v>
      </c>
    </row>
    <row r="97" customFormat="false" ht="15" hidden="false" customHeight="false" outlineLevel="0" collapsed="false">
      <c r="A97" s="32" t="n">
        <v>1096</v>
      </c>
      <c r="B97" s="33" t="n">
        <v>46102</v>
      </c>
      <c r="C97" s="34" t="s">
        <v>109</v>
      </c>
      <c r="D97" s="34" t="s">
        <v>110</v>
      </c>
      <c r="E97" s="34" t="s">
        <v>119</v>
      </c>
      <c r="F97" s="34" t="s">
        <v>101</v>
      </c>
      <c r="G97" s="34" t="s">
        <v>107</v>
      </c>
      <c r="H97" s="32" t="n">
        <v>6</v>
      </c>
      <c r="I97" s="35" t="n">
        <v>119.9</v>
      </c>
      <c r="J97" s="35" t="n">
        <v>55</v>
      </c>
      <c r="K97" s="35" t="n">
        <f aca="false">H97*I97</f>
        <v>719.4</v>
      </c>
      <c r="L97" s="35" t="n">
        <f aca="false">H97*J97</f>
        <v>330</v>
      </c>
      <c r="M97" s="35" t="n">
        <f aca="false">K97-L97</f>
        <v>389.4</v>
      </c>
      <c r="N97" s="32" t="n">
        <f aca="false">MONTH(B97)</f>
        <v>3</v>
      </c>
    </row>
    <row r="98" customFormat="false" ht="15" hidden="false" customHeight="false" outlineLevel="0" collapsed="false">
      <c r="A98" s="28" t="n">
        <v>1097</v>
      </c>
      <c r="B98" s="29" t="n">
        <v>46199</v>
      </c>
      <c r="C98" s="30" t="s">
        <v>103</v>
      </c>
      <c r="D98" s="30" t="s">
        <v>121</v>
      </c>
      <c r="E98" s="30" t="s">
        <v>126</v>
      </c>
      <c r="F98" s="30" t="s">
        <v>115</v>
      </c>
      <c r="G98" s="30" t="s">
        <v>113</v>
      </c>
      <c r="H98" s="28" t="n">
        <v>6</v>
      </c>
      <c r="I98" s="31" t="n">
        <v>79.9</v>
      </c>
      <c r="J98" s="31" t="n">
        <v>39</v>
      </c>
      <c r="K98" s="31" t="n">
        <f aca="false">H98*I98</f>
        <v>479.4</v>
      </c>
      <c r="L98" s="31" t="n">
        <f aca="false">H98*J98</f>
        <v>234</v>
      </c>
      <c r="M98" s="31" t="n">
        <f aca="false">K98-L98</f>
        <v>245.4</v>
      </c>
      <c r="N98" s="28" t="n">
        <f aca="false">MONTH(B98)</f>
        <v>6</v>
      </c>
    </row>
    <row r="99" customFormat="false" ht="15" hidden="false" customHeight="false" outlineLevel="0" collapsed="false">
      <c r="A99" s="32" t="n">
        <v>1098</v>
      </c>
      <c r="B99" s="33" t="n">
        <v>46176</v>
      </c>
      <c r="C99" s="34" t="s">
        <v>103</v>
      </c>
      <c r="D99" s="34" t="s">
        <v>104</v>
      </c>
      <c r="E99" s="34" t="s">
        <v>116</v>
      </c>
      <c r="F99" s="34" t="s">
        <v>123</v>
      </c>
      <c r="G99" s="34" t="s">
        <v>102</v>
      </c>
      <c r="H99" s="32" t="n">
        <v>5</v>
      </c>
      <c r="I99" s="35" t="n">
        <v>249.9</v>
      </c>
      <c r="J99" s="35" t="n">
        <v>155</v>
      </c>
      <c r="K99" s="35" t="n">
        <f aca="false">H99*I99</f>
        <v>1249.5</v>
      </c>
      <c r="L99" s="35" t="n">
        <f aca="false">H99*J99</f>
        <v>775</v>
      </c>
      <c r="M99" s="35" t="n">
        <f aca="false">K99-L99</f>
        <v>474.5</v>
      </c>
      <c r="N99" s="32" t="n">
        <f aca="false">MONTH(B99)</f>
        <v>6</v>
      </c>
    </row>
    <row r="100" customFormat="false" ht="15" hidden="false" customHeight="false" outlineLevel="0" collapsed="false">
      <c r="A100" s="28" t="n">
        <v>1099</v>
      </c>
      <c r="B100" s="29" t="n">
        <v>46040</v>
      </c>
      <c r="C100" s="30" t="s">
        <v>109</v>
      </c>
      <c r="D100" s="30" t="s">
        <v>99</v>
      </c>
      <c r="E100" s="30" t="s">
        <v>100</v>
      </c>
      <c r="F100" s="30" t="s">
        <v>123</v>
      </c>
      <c r="G100" s="30" t="s">
        <v>113</v>
      </c>
      <c r="H100" s="28" t="n">
        <v>7</v>
      </c>
      <c r="I100" s="31" t="n">
        <v>89.9</v>
      </c>
      <c r="J100" s="31" t="n">
        <v>41</v>
      </c>
      <c r="K100" s="31" t="n">
        <f aca="false">H100*I100</f>
        <v>629.3</v>
      </c>
      <c r="L100" s="31" t="n">
        <f aca="false">H100*J100</f>
        <v>287</v>
      </c>
      <c r="M100" s="31" t="n">
        <f aca="false">K100-L100</f>
        <v>342.3</v>
      </c>
      <c r="N100" s="28" t="n">
        <f aca="false">MONTH(B100)</f>
        <v>1</v>
      </c>
    </row>
    <row r="101" customFormat="false" ht="15" hidden="false" customHeight="false" outlineLevel="0" collapsed="false">
      <c r="A101" s="32" t="n">
        <v>1100</v>
      </c>
      <c r="B101" s="33" t="n">
        <v>46050</v>
      </c>
      <c r="C101" s="34" t="s">
        <v>109</v>
      </c>
      <c r="D101" s="34" t="s">
        <v>99</v>
      </c>
      <c r="E101" s="34" t="s">
        <v>118</v>
      </c>
      <c r="F101" s="34" t="s">
        <v>123</v>
      </c>
      <c r="G101" s="34" t="s">
        <v>102</v>
      </c>
      <c r="H101" s="32" t="n">
        <v>7</v>
      </c>
      <c r="I101" s="35" t="n">
        <v>159.9</v>
      </c>
      <c r="J101" s="35" t="n">
        <v>86</v>
      </c>
      <c r="K101" s="35" t="n">
        <f aca="false">H101*I101</f>
        <v>1119.3</v>
      </c>
      <c r="L101" s="35" t="n">
        <f aca="false">H101*J101</f>
        <v>602</v>
      </c>
      <c r="M101" s="35" t="n">
        <f aca="false">K101-L101</f>
        <v>517.3</v>
      </c>
      <c r="N101" s="32" t="n">
        <f aca="false">MONTH(B101)</f>
        <v>1</v>
      </c>
    </row>
    <row r="102" customFormat="false" ht="15" hidden="false" customHeight="false" outlineLevel="0" collapsed="false">
      <c r="A102" s="28" t="n">
        <v>1101</v>
      </c>
      <c r="B102" s="29" t="n">
        <v>46134</v>
      </c>
      <c r="C102" s="30" t="s">
        <v>98</v>
      </c>
      <c r="D102" s="30" t="s">
        <v>99</v>
      </c>
      <c r="E102" s="30" t="s">
        <v>118</v>
      </c>
      <c r="F102" s="30" t="s">
        <v>117</v>
      </c>
      <c r="G102" s="30" t="s">
        <v>102</v>
      </c>
      <c r="H102" s="28" t="n">
        <v>7</v>
      </c>
      <c r="I102" s="31" t="n">
        <v>159.9</v>
      </c>
      <c r="J102" s="31" t="n">
        <v>86</v>
      </c>
      <c r="K102" s="31" t="n">
        <f aca="false">H102*I102</f>
        <v>1119.3</v>
      </c>
      <c r="L102" s="31" t="n">
        <f aca="false">H102*J102</f>
        <v>602</v>
      </c>
      <c r="M102" s="31" t="n">
        <f aca="false">K102-L102</f>
        <v>517.3</v>
      </c>
      <c r="N102" s="28" t="n">
        <f aca="false">MONTH(B102)</f>
        <v>4</v>
      </c>
    </row>
    <row r="103" customFormat="false" ht="15" hidden="false" customHeight="false" outlineLevel="0" collapsed="false">
      <c r="A103" s="32" t="n">
        <v>1102</v>
      </c>
      <c r="B103" s="33" t="n">
        <v>46142</v>
      </c>
      <c r="C103" s="34" t="s">
        <v>109</v>
      </c>
      <c r="D103" s="34" t="s">
        <v>99</v>
      </c>
      <c r="E103" s="34" t="s">
        <v>112</v>
      </c>
      <c r="F103" s="34" t="s">
        <v>101</v>
      </c>
      <c r="G103" s="34" t="s">
        <v>113</v>
      </c>
      <c r="H103" s="32" t="n">
        <v>7</v>
      </c>
      <c r="I103" s="35" t="n">
        <v>69.9</v>
      </c>
      <c r="J103" s="35" t="n">
        <v>29</v>
      </c>
      <c r="K103" s="35" t="n">
        <f aca="false">H103*I103</f>
        <v>489.3</v>
      </c>
      <c r="L103" s="35" t="n">
        <f aca="false">H103*J103</f>
        <v>203</v>
      </c>
      <c r="M103" s="35" t="n">
        <f aca="false">K103-L103</f>
        <v>286.3</v>
      </c>
      <c r="N103" s="32" t="n">
        <f aca="false">MONTH(B103)</f>
        <v>4</v>
      </c>
    </row>
    <row r="104" customFormat="false" ht="15" hidden="false" customHeight="false" outlineLevel="0" collapsed="false">
      <c r="A104" s="28" t="n">
        <v>1103</v>
      </c>
      <c r="B104" s="29" t="n">
        <v>46045</v>
      </c>
      <c r="C104" s="30" t="s">
        <v>98</v>
      </c>
      <c r="D104" s="30" t="s">
        <v>110</v>
      </c>
      <c r="E104" s="30" t="s">
        <v>114</v>
      </c>
      <c r="F104" s="30" t="s">
        <v>123</v>
      </c>
      <c r="G104" s="30" t="s">
        <v>102</v>
      </c>
      <c r="H104" s="28" t="n">
        <v>7</v>
      </c>
      <c r="I104" s="31" t="n">
        <v>39.9</v>
      </c>
      <c r="J104" s="31" t="n">
        <v>14</v>
      </c>
      <c r="K104" s="31" t="n">
        <f aca="false">H104*I104</f>
        <v>279.3</v>
      </c>
      <c r="L104" s="31" t="n">
        <f aca="false">H104*J104</f>
        <v>98</v>
      </c>
      <c r="M104" s="31" t="n">
        <f aca="false">K104-L104</f>
        <v>181.3</v>
      </c>
      <c r="N104" s="28" t="n">
        <f aca="false">MONTH(B104)</f>
        <v>1</v>
      </c>
    </row>
    <row r="105" customFormat="false" ht="15" hidden="false" customHeight="false" outlineLevel="0" collapsed="false">
      <c r="A105" s="32" t="n">
        <v>1104</v>
      </c>
      <c r="B105" s="33" t="n">
        <v>46194</v>
      </c>
      <c r="C105" s="34" t="s">
        <v>109</v>
      </c>
      <c r="D105" s="34" t="s">
        <v>104</v>
      </c>
      <c r="E105" s="34" t="s">
        <v>116</v>
      </c>
      <c r="F105" s="34" t="s">
        <v>115</v>
      </c>
      <c r="G105" s="34" t="s">
        <v>107</v>
      </c>
      <c r="H105" s="32" t="n">
        <v>7</v>
      </c>
      <c r="I105" s="35" t="n">
        <v>249.9</v>
      </c>
      <c r="J105" s="35" t="n">
        <v>155</v>
      </c>
      <c r="K105" s="35" t="n">
        <f aca="false">H105*I105</f>
        <v>1749.3</v>
      </c>
      <c r="L105" s="35" t="n">
        <f aca="false">H105*J105</f>
        <v>1085</v>
      </c>
      <c r="M105" s="35" t="n">
        <f aca="false">K105-L105</f>
        <v>664.3</v>
      </c>
      <c r="N105" s="32" t="n">
        <f aca="false">MONTH(B105)</f>
        <v>6</v>
      </c>
    </row>
    <row r="106" customFormat="false" ht="15" hidden="false" customHeight="false" outlineLevel="0" collapsed="false">
      <c r="A106" s="28" t="n">
        <v>1105</v>
      </c>
      <c r="B106" s="29" t="n">
        <v>46077</v>
      </c>
      <c r="C106" s="30" t="s">
        <v>109</v>
      </c>
      <c r="D106" s="30" t="s">
        <v>99</v>
      </c>
      <c r="E106" s="30" t="s">
        <v>112</v>
      </c>
      <c r="F106" s="30" t="s">
        <v>117</v>
      </c>
      <c r="G106" s="30" t="s">
        <v>102</v>
      </c>
      <c r="H106" s="28" t="n">
        <v>3</v>
      </c>
      <c r="I106" s="31" t="n">
        <v>69.9</v>
      </c>
      <c r="J106" s="31" t="n">
        <v>29</v>
      </c>
      <c r="K106" s="31" t="n">
        <f aca="false">H106*I106</f>
        <v>209.7</v>
      </c>
      <c r="L106" s="31" t="n">
        <f aca="false">H106*J106</f>
        <v>87</v>
      </c>
      <c r="M106" s="31" t="n">
        <f aca="false">K106-L106</f>
        <v>122.7</v>
      </c>
      <c r="N106" s="28" t="n">
        <f aca="false">MONTH(B106)</f>
        <v>2</v>
      </c>
    </row>
    <row r="107" customFormat="false" ht="15" hidden="false" customHeight="false" outlineLevel="0" collapsed="false">
      <c r="A107" s="32" t="n">
        <v>1106</v>
      </c>
      <c r="B107" s="33" t="n">
        <v>46093</v>
      </c>
      <c r="C107" s="34" t="s">
        <v>109</v>
      </c>
      <c r="D107" s="34" t="s">
        <v>121</v>
      </c>
      <c r="E107" s="34" t="s">
        <v>126</v>
      </c>
      <c r="F107" s="34" t="s">
        <v>108</v>
      </c>
      <c r="G107" s="34" t="s">
        <v>107</v>
      </c>
      <c r="H107" s="32" t="n">
        <v>2</v>
      </c>
      <c r="I107" s="35" t="n">
        <v>79.9</v>
      </c>
      <c r="J107" s="35" t="n">
        <v>39</v>
      </c>
      <c r="K107" s="35" t="n">
        <f aca="false">H107*I107</f>
        <v>159.8</v>
      </c>
      <c r="L107" s="35" t="n">
        <f aca="false">H107*J107</f>
        <v>78</v>
      </c>
      <c r="M107" s="35" t="n">
        <f aca="false">K107-L107</f>
        <v>81.8</v>
      </c>
      <c r="N107" s="32" t="n">
        <f aca="false">MONTH(B107)</f>
        <v>3</v>
      </c>
    </row>
    <row r="108" customFormat="false" ht="15" hidden="false" customHeight="false" outlineLevel="0" collapsed="false">
      <c r="A108" s="28" t="n">
        <v>1107</v>
      </c>
      <c r="B108" s="29" t="n">
        <v>46165</v>
      </c>
      <c r="C108" s="30" t="s">
        <v>103</v>
      </c>
      <c r="D108" s="30" t="s">
        <v>110</v>
      </c>
      <c r="E108" s="30" t="s">
        <v>111</v>
      </c>
      <c r="F108" s="30" t="s">
        <v>123</v>
      </c>
      <c r="G108" s="30" t="s">
        <v>107</v>
      </c>
      <c r="H108" s="28" t="n">
        <v>6</v>
      </c>
      <c r="I108" s="31" t="n">
        <v>129.9</v>
      </c>
      <c r="J108" s="31" t="n">
        <v>61</v>
      </c>
      <c r="K108" s="31" t="n">
        <f aca="false">H108*I108</f>
        <v>779.4</v>
      </c>
      <c r="L108" s="31" t="n">
        <f aca="false">H108*J108</f>
        <v>366</v>
      </c>
      <c r="M108" s="31" t="n">
        <f aca="false">K108-L108</f>
        <v>413.4</v>
      </c>
      <c r="N108" s="28" t="n">
        <f aca="false">MONTH(B108)</f>
        <v>5</v>
      </c>
    </row>
    <row r="109" customFormat="false" ht="15" hidden="false" customHeight="false" outlineLevel="0" collapsed="false">
      <c r="A109" s="32" t="n">
        <v>1108</v>
      </c>
      <c r="B109" s="33" t="n">
        <v>46027</v>
      </c>
      <c r="C109" s="34" t="s">
        <v>98</v>
      </c>
      <c r="D109" s="34" t="s">
        <v>121</v>
      </c>
      <c r="E109" s="34" t="s">
        <v>125</v>
      </c>
      <c r="F109" s="34" t="s">
        <v>101</v>
      </c>
      <c r="G109" s="34" t="s">
        <v>107</v>
      </c>
      <c r="H109" s="32" t="n">
        <v>6</v>
      </c>
      <c r="I109" s="35" t="n">
        <v>49.9</v>
      </c>
      <c r="J109" s="35" t="n">
        <v>23</v>
      </c>
      <c r="K109" s="35" t="n">
        <f aca="false">H109*I109</f>
        <v>299.4</v>
      </c>
      <c r="L109" s="35" t="n">
        <f aca="false">H109*J109</f>
        <v>138</v>
      </c>
      <c r="M109" s="35" t="n">
        <f aca="false">K109-L109</f>
        <v>161.4</v>
      </c>
      <c r="N109" s="32" t="n">
        <f aca="false">MONTH(B109)</f>
        <v>1</v>
      </c>
    </row>
    <row r="110" customFormat="false" ht="15" hidden="false" customHeight="false" outlineLevel="0" collapsed="false">
      <c r="A110" s="28" t="n">
        <v>1109</v>
      </c>
      <c r="B110" s="29" t="n">
        <v>46171</v>
      </c>
      <c r="C110" s="30" t="s">
        <v>109</v>
      </c>
      <c r="D110" s="30" t="s">
        <v>99</v>
      </c>
      <c r="E110" s="30" t="s">
        <v>112</v>
      </c>
      <c r="F110" s="30" t="s">
        <v>117</v>
      </c>
      <c r="G110" s="30" t="s">
        <v>107</v>
      </c>
      <c r="H110" s="28" t="n">
        <v>6</v>
      </c>
      <c r="I110" s="31" t="n">
        <v>69.9</v>
      </c>
      <c r="J110" s="31" t="n">
        <v>29</v>
      </c>
      <c r="K110" s="31" t="n">
        <f aca="false">H110*I110</f>
        <v>419.4</v>
      </c>
      <c r="L110" s="31" t="n">
        <f aca="false">H110*J110</f>
        <v>174</v>
      </c>
      <c r="M110" s="31" t="n">
        <f aca="false">K110-L110</f>
        <v>245.4</v>
      </c>
      <c r="N110" s="28" t="n">
        <f aca="false">MONTH(B110)</f>
        <v>5</v>
      </c>
    </row>
    <row r="111" customFormat="false" ht="15" hidden="false" customHeight="false" outlineLevel="0" collapsed="false">
      <c r="A111" s="32" t="n">
        <v>1110</v>
      </c>
      <c r="B111" s="33" t="n">
        <v>46202</v>
      </c>
      <c r="C111" s="34" t="s">
        <v>109</v>
      </c>
      <c r="D111" s="34" t="s">
        <v>99</v>
      </c>
      <c r="E111" s="34" t="s">
        <v>112</v>
      </c>
      <c r="F111" s="34" t="s">
        <v>106</v>
      </c>
      <c r="G111" s="34" t="s">
        <v>102</v>
      </c>
      <c r="H111" s="32" t="n">
        <v>2</v>
      </c>
      <c r="I111" s="35" t="n">
        <v>69.9</v>
      </c>
      <c r="J111" s="35" t="n">
        <v>29</v>
      </c>
      <c r="K111" s="35" t="n">
        <f aca="false">H111*I111</f>
        <v>139.8</v>
      </c>
      <c r="L111" s="35" t="n">
        <f aca="false">H111*J111</f>
        <v>58</v>
      </c>
      <c r="M111" s="35" t="n">
        <f aca="false">K111-L111</f>
        <v>81.8</v>
      </c>
      <c r="N111" s="32" t="n">
        <f aca="false">MONTH(B111)</f>
        <v>6</v>
      </c>
    </row>
    <row r="112" customFormat="false" ht="15" hidden="false" customHeight="false" outlineLevel="0" collapsed="false">
      <c r="A112" s="28" t="n">
        <v>1111</v>
      </c>
      <c r="B112" s="29" t="n">
        <v>46103</v>
      </c>
      <c r="C112" s="30" t="s">
        <v>98</v>
      </c>
      <c r="D112" s="30" t="s">
        <v>121</v>
      </c>
      <c r="E112" s="30" t="s">
        <v>126</v>
      </c>
      <c r="F112" s="30" t="s">
        <v>108</v>
      </c>
      <c r="G112" s="30" t="s">
        <v>102</v>
      </c>
      <c r="H112" s="28" t="n">
        <v>2</v>
      </c>
      <c r="I112" s="31" t="n">
        <v>79.9</v>
      </c>
      <c r="J112" s="31" t="n">
        <v>39</v>
      </c>
      <c r="K112" s="31" t="n">
        <f aca="false">H112*I112</f>
        <v>159.8</v>
      </c>
      <c r="L112" s="31" t="n">
        <f aca="false">H112*J112</f>
        <v>78</v>
      </c>
      <c r="M112" s="31" t="n">
        <f aca="false">K112-L112</f>
        <v>81.8</v>
      </c>
      <c r="N112" s="28" t="n">
        <f aca="false">MONTH(B112)</f>
        <v>3</v>
      </c>
    </row>
    <row r="113" customFormat="false" ht="15" hidden="false" customHeight="false" outlineLevel="0" collapsed="false">
      <c r="A113" s="32" t="n">
        <v>1112</v>
      </c>
      <c r="B113" s="33" t="n">
        <v>46173</v>
      </c>
      <c r="C113" s="34" t="s">
        <v>124</v>
      </c>
      <c r="D113" s="34" t="s">
        <v>99</v>
      </c>
      <c r="E113" s="34" t="s">
        <v>100</v>
      </c>
      <c r="F113" s="34" t="s">
        <v>101</v>
      </c>
      <c r="G113" s="34" t="s">
        <v>107</v>
      </c>
      <c r="H113" s="32" t="n">
        <v>7</v>
      </c>
      <c r="I113" s="35" t="n">
        <v>89.9</v>
      </c>
      <c r="J113" s="35" t="n">
        <v>41</v>
      </c>
      <c r="K113" s="35" t="n">
        <f aca="false">H113*I113</f>
        <v>629.3</v>
      </c>
      <c r="L113" s="35" t="n">
        <f aca="false">H113*J113</f>
        <v>287</v>
      </c>
      <c r="M113" s="35" t="n">
        <f aca="false">K113-L113</f>
        <v>342.3</v>
      </c>
      <c r="N113" s="32" t="n">
        <f aca="false">MONTH(B113)</f>
        <v>5</v>
      </c>
    </row>
    <row r="114" customFormat="false" ht="15" hidden="false" customHeight="false" outlineLevel="0" collapsed="false">
      <c r="A114" s="28" t="n">
        <v>1113</v>
      </c>
      <c r="B114" s="29" t="n">
        <v>46115</v>
      </c>
      <c r="C114" s="30" t="s">
        <v>98</v>
      </c>
      <c r="D114" s="30" t="s">
        <v>104</v>
      </c>
      <c r="E114" s="30" t="s">
        <v>105</v>
      </c>
      <c r="F114" s="30" t="s">
        <v>101</v>
      </c>
      <c r="G114" s="30" t="s">
        <v>107</v>
      </c>
      <c r="H114" s="28" t="n">
        <v>5</v>
      </c>
      <c r="I114" s="31" t="n">
        <v>99.9</v>
      </c>
      <c r="J114" s="31" t="n">
        <v>52</v>
      </c>
      <c r="K114" s="31" t="n">
        <f aca="false">H114*I114</f>
        <v>499.5</v>
      </c>
      <c r="L114" s="31" t="n">
        <f aca="false">H114*J114</f>
        <v>260</v>
      </c>
      <c r="M114" s="31" t="n">
        <f aca="false">K114-L114</f>
        <v>239.5</v>
      </c>
      <c r="N114" s="28" t="n">
        <f aca="false">MONTH(B114)</f>
        <v>4</v>
      </c>
    </row>
    <row r="115" customFormat="false" ht="15" hidden="false" customHeight="false" outlineLevel="0" collapsed="false">
      <c r="A115" s="32" t="n">
        <v>1114</v>
      </c>
      <c r="B115" s="33" t="n">
        <v>46036</v>
      </c>
      <c r="C115" s="34" t="s">
        <v>109</v>
      </c>
      <c r="D115" s="34" t="s">
        <v>121</v>
      </c>
      <c r="E115" s="34" t="s">
        <v>122</v>
      </c>
      <c r="F115" s="34" t="s">
        <v>123</v>
      </c>
      <c r="G115" s="34" t="s">
        <v>107</v>
      </c>
      <c r="H115" s="32" t="n">
        <v>7</v>
      </c>
      <c r="I115" s="35" t="n">
        <v>199.9</v>
      </c>
      <c r="J115" s="35" t="n">
        <v>118</v>
      </c>
      <c r="K115" s="35" t="n">
        <f aca="false">H115*I115</f>
        <v>1399.3</v>
      </c>
      <c r="L115" s="35" t="n">
        <f aca="false">H115*J115</f>
        <v>826</v>
      </c>
      <c r="M115" s="35" t="n">
        <f aca="false">K115-L115</f>
        <v>573.3</v>
      </c>
      <c r="N115" s="32" t="n">
        <f aca="false">MONTH(B115)</f>
        <v>1</v>
      </c>
    </row>
    <row r="116" customFormat="false" ht="15" hidden="false" customHeight="false" outlineLevel="0" collapsed="false">
      <c r="A116" s="28" t="n">
        <v>1115</v>
      </c>
      <c r="B116" s="29" t="n">
        <v>46026</v>
      </c>
      <c r="C116" s="30" t="s">
        <v>109</v>
      </c>
      <c r="D116" s="30" t="s">
        <v>110</v>
      </c>
      <c r="E116" s="30" t="s">
        <v>119</v>
      </c>
      <c r="F116" s="30" t="s">
        <v>115</v>
      </c>
      <c r="G116" s="30" t="s">
        <v>107</v>
      </c>
      <c r="H116" s="28" t="n">
        <v>4</v>
      </c>
      <c r="I116" s="31" t="n">
        <v>119.9</v>
      </c>
      <c r="J116" s="31" t="n">
        <v>55</v>
      </c>
      <c r="K116" s="31" t="n">
        <f aca="false">H116*I116</f>
        <v>479.6</v>
      </c>
      <c r="L116" s="31" t="n">
        <f aca="false">H116*J116</f>
        <v>220</v>
      </c>
      <c r="M116" s="31" t="n">
        <f aca="false">K116-L116</f>
        <v>259.6</v>
      </c>
      <c r="N116" s="28" t="n">
        <f aca="false">MONTH(B116)</f>
        <v>1</v>
      </c>
    </row>
    <row r="117" customFormat="false" ht="15" hidden="false" customHeight="false" outlineLevel="0" collapsed="false">
      <c r="A117" s="32" t="n">
        <v>1116</v>
      </c>
      <c r="B117" s="33" t="n">
        <v>46036</v>
      </c>
      <c r="C117" s="34" t="s">
        <v>98</v>
      </c>
      <c r="D117" s="34" t="s">
        <v>110</v>
      </c>
      <c r="E117" s="34" t="s">
        <v>114</v>
      </c>
      <c r="F117" s="34" t="s">
        <v>106</v>
      </c>
      <c r="G117" s="34" t="s">
        <v>107</v>
      </c>
      <c r="H117" s="32" t="n">
        <v>7</v>
      </c>
      <c r="I117" s="35" t="n">
        <v>39.9</v>
      </c>
      <c r="J117" s="35" t="n">
        <v>14</v>
      </c>
      <c r="K117" s="35" t="n">
        <f aca="false">H117*I117</f>
        <v>279.3</v>
      </c>
      <c r="L117" s="35" t="n">
        <f aca="false">H117*J117</f>
        <v>98</v>
      </c>
      <c r="M117" s="35" t="n">
        <f aca="false">K117-L117</f>
        <v>181.3</v>
      </c>
      <c r="N117" s="32" t="n">
        <f aca="false">MONTH(B117)</f>
        <v>1</v>
      </c>
    </row>
    <row r="118" customFormat="false" ht="15" hidden="false" customHeight="false" outlineLevel="0" collapsed="false">
      <c r="A118" s="28" t="n">
        <v>1117</v>
      </c>
      <c r="B118" s="29" t="n">
        <v>46041</v>
      </c>
      <c r="C118" s="30" t="s">
        <v>109</v>
      </c>
      <c r="D118" s="30" t="s">
        <v>104</v>
      </c>
      <c r="E118" s="30" t="s">
        <v>120</v>
      </c>
      <c r="F118" s="30" t="s">
        <v>117</v>
      </c>
      <c r="G118" s="30" t="s">
        <v>113</v>
      </c>
      <c r="H118" s="28" t="n">
        <v>2</v>
      </c>
      <c r="I118" s="31" t="n">
        <v>149.9</v>
      </c>
      <c r="J118" s="31" t="n">
        <v>88</v>
      </c>
      <c r="K118" s="31" t="n">
        <f aca="false">H118*I118</f>
        <v>299.8</v>
      </c>
      <c r="L118" s="31" t="n">
        <f aca="false">H118*J118</f>
        <v>176</v>
      </c>
      <c r="M118" s="31" t="n">
        <f aca="false">K118-L118</f>
        <v>123.8</v>
      </c>
      <c r="N118" s="28" t="n">
        <f aca="false">MONTH(B118)</f>
        <v>1</v>
      </c>
    </row>
    <row r="119" customFormat="false" ht="15" hidden="false" customHeight="false" outlineLevel="0" collapsed="false">
      <c r="A119" s="32" t="n">
        <v>1118</v>
      </c>
      <c r="B119" s="33" t="n">
        <v>46044</v>
      </c>
      <c r="C119" s="34" t="s">
        <v>124</v>
      </c>
      <c r="D119" s="34" t="s">
        <v>104</v>
      </c>
      <c r="E119" s="34" t="s">
        <v>105</v>
      </c>
      <c r="F119" s="34" t="s">
        <v>123</v>
      </c>
      <c r="G119" s="34" t="s">
        <v>102</v>
      </c>
      <c r="H119" s="32" t="n">
        <v>7</v>
      </c>
      <c r="I119" s="35" t="n">
        <v>99.9</v>
      </c>
      <c r="J119" s="35" t="n">
        <v>52</v>
      </c>
      <c r="K119" s="35" t="n">
        <f aca="false">H119*I119</f>
        <v>699.3</v>
      </c>
      <c r="L119" s="35" t="n">
        <f aca="false">H119*J119</f>
        <v>364</v>
      </c>
      <c r="M119" s="35" t="n">
        <f aca="false">K119-L119</f>
        <v>335.3</v>
      </c>
      <c r="N119" s="32" t="n">
        <f aca="false">MONTH(B119)</f>
        <v>1</v>
      </c>
    </row>
    <row r="120" customFormat="false" ht="15" hidden="false" customHeight="false" outlineLevel="0" collapsed="false">
      <c r="A120" s="28" t="n">
        <v>1119</v>
      </c>
      <c r="B120" s="29" t="n">
        <v>46181</v>
      </c>
      <c r="C120" s="30" t="s">
        <v>98</v>
      </c>
      <c r="D120" s="30" t="s">
        <v>110</v>
      </c>
      <c r="E120" s="30" t="s">
        <v>119</v>
      </c>
      <c r="F120" s="30" t="s">
        <v>115</v>
      </c>
      <c r="G120" s="30" t="s">
        <v>113</v>
      </c>
      <c r="H120" s="28" t="n">
        <v>4</v>
      </c>
      <c r="I120" s="31" t="n">
        <v>119.9</v>
      </c>
      <c r="J120" s="31" t="n">
        <v>55</v>
      </c>
      <c r="K120" s="31" t="n">
        <f aca="false">H120*I120</f>
        <v>479.6</v>
      </c>
      <c r="L120" s="31" t="n">
        <f aca="false">H120*J120</f>
        <v>220</v>
      </c>
      <c r="M120" s="31" t="n">
        <f aca="false">K120-L120</f>
        <v>259.6</v>
      </c>
      <c r="N120" s="28" t="n">
        <f aca="false">MONTH(B120)</f>
        <v>6</v>
      </c>
    </row>
    <row r="121" customFormat="false" ht="15" hidden="false" customHeight="false" outlineLevel="0" collapsed="false">
      <c r="A121" s="32" t="n">
        <v>1120</v>
      </c>
      <c r="B121" s="33" t="n">
        <v>46132</v>
      </c>
      <c r="C121" s="34" t="s">
        <v>109</v>
      </c>
      <c r="D121" s="34" t="s">
        <v>104</v>
      </c>
      <c r="E121" s="34" t="s">
        <v>105</v>
      </c>
      <c r="F121" s="34" t="s">
        <v>106</v>
      </c>
      <c r="G121" s="34" t="s">
        <v>113</v>
      </c>
      <c r="H121" s="32" t="n">
        <v>6</v>
      </c>
      <c r="I121" s="35" t="n">
        <v>99.9</v>
      </c>
      <c r="J121" s="35" t="n">
        <v>52</v>
      </c>
      <c r="K121" s="35" t="n">
        <f aca="false">H121*I121</f>
        <v>599.4</v>
      </c>
      <c r="L121" s="35" t="n">
        <f aca="false">H121*J121</f>
        <v>312</v>
      </c>
      <c r="M121" s="35" t="n">
        <f aca="false">K121-L121</f>
        <v>287.4</v>
      </c>
      <c r="N121" s="32" t="n">
        <f aca="false">MONTH(B121)</f>
        <v>4</v>
      </c>
    </row>
    <row r="122" customFormat="false" ht="15" hidden="false" customHeight="false" outlineLevel="0" collapsed="false">
      <c r="A122" s="28" t="n">
        <v>1121</v>
      </c>
      <c r="B122" s="29" t="n">
        <v>46076</v>
      </c>
      <c r="C122" s="30" t="s">
        <v>109</v>
      </c>
      <c r="D122" s="30" t="s">
        <v>99</v>
      </c>
      <c r="E122" s="30" t="s">
        <v>118</v>
      </c>
      <c r="F122" s="30" t="s">
        <v>101</v>
      </c>
      <c r="G122" s="30" t="s">
        <v>107</v>
      </c>
      <c r="H122" s="28" t="n">
        <v>1</v>
      </c>
      <c r="I122" s="31" t="n">
        <v>159.9</v>
      </c>
      <c r="J122" s="31" t="n">
        <v>86</v>
      </c>
      <c r="K122" s="31" t="n">
        <f aca="false">H122*I122</f>
        <v>159.9</v>
      </c>
      <c r="L122" s="31" t="n">
        <f aca="false">H122*J122</f>
        <v>86</v>
      </c>
      <c r="M122" s="31" t="n">
        <f aca="false">K122-L122</f>
        <v>73.9</v>
      </c>
      <c r="N122" s="28" t="n">
        <f aca="false">MONTH(B122)</f>
        <v>2</v>
      </c>
    </row>
    <row r="123" customFormat="false" ht="15" hidden="false" customHeight="false" outlineLevel="0" collapsed="false">
      <c r="A123" s="32" t="n">
        <v>1122</v>
      </c>
      <c r="B123" s="33" t="n">
        <v>46164</v>
      </c>
      <c r="C123" s="34" t="s">
        <v>98</v>
      </c>
      <c r="D123" s="34" t="s">
        <v>104</v>
      </c>
      <c r="E123" s="34" t="s">
        <v>116</v>
      </c>
      <c r="F123" s="34" t="s">
        <v>108</v>
      </c>
      <c r="G123" s="34" t="s">
        <v>102</v>
      </c>
      <c r="H123" s="32" t="n">
        <v>4</v>
      </c>
      <c r="I123" s="35" t="n">
        <v>249.9</v>
      </c>
      <c r="J123" s="35" t="n">
        <v>155</v>
      </c>
      <c r="K123" s="35" t="n">
        <f aca="false">H123*I123</f>
        <v>999.6</v>
      </c>
      <c r="L123" s="35" t="n">
        <f aca="false">H123*J123</f>
        <v>620</v>
      </c>
      <c r="M123" s="35" t="n">
        <f aca="false">K123-L123</f>
        <v>379.6</v>
      </c>
      <c r="N123" s="32" t="n">
        <f aca="false">MONTH(B123)</f>
        <v>5</v>
      </c>
    </row>
    <row r="124" customFormat="false" ht="15" hidden="false" customHeight="false" outlineLevel="0" collapsed="false">
      <c r="A124" s="28" t="n">
        <v>1123</v>
      </c>
      <c r="B124" s="29" t="n">
        <v>46097</v>
      </c>
      <c r="C124" s="30" t="s">
        <v>98</v>
      </c>
      <c r="D124" s="30" t="s">
        <v>99</v>
      </c>
      <c r="E124" s="30" t="s">
        <v>118</v>
      </c>
      <c r="F124" s="30" t="s">
        <v>108</v>
      </c>
      <c r="G124" s="30" t="s">
        <v>113</v>
      </c>
      <c r="H124" s="28" t="n">
        <v>3</v>
      </c>
      <c r="I124" s="31" t="n">
        <v>159.9</v>
      </c>
      <c r="J124" s="31" t="n">
        <v>86</v>
      </c>
      <c r="K124" s="31" t="n">
        <f aca="false">H124*I124</f>
        <v>479.7</v>
      </c>
      <c r="L124" s="31" t="n">
        <f aca="false">H124*J124</f>
        <v>258</v>
      </c>
      <c r="M124" s="31" t="n">
        <f aca="false">K124-L124</f>
        <v>221.7</v>
      </c>
      <c r="N124" s="28" t="n">
        <f aca="false">MONTH(B124)</f>
        <v>3</v>
      </c>
    </row>
    <row r="125" customFormat="false" ht="15" hidden="false" customHeight="false" outlineLevel="0" collapsed="false">
      <c r="A125" s="32" t="n">
        <v>1124</v>
      </c>
      <c r="B125" s="33" t="n">
        <v>46041</v>
      </c>
      <c r="C125" s="34" t="s">
        <v>103</v>
      </c>
      <c r="D125" s="34" t="s">
        <v>99</v>
      </c>
      <c r="E125" s="34" t="s">
        <v>118</v>
      </c>
      <c r="F125" s="34" t="s">
        <v>108</v>
      </c>
      <c r="G125" s="34" t="s">
        <v>113</v>
      </c>
      <c r="H125" s="32" t="n">
        <v>5</v>
      </c>
      <c r="I125" s="35" t="n">
        <v>159.9</v>
      </c>
      <c r="J125" s="35" t="n">
        <v>86</v>
      </c>
      <c r="K125" s="35" t="n">
        <f aca="false">H125*I125</f>
        <v>799.5</v>
      </c>
      <c r="L125" s="35" t="n">
        <f aca="false">H125*J125</f>
        <v>430</v>
      </c>
      <c r="M125" s="35" t="n">
        <f aca="false">K125-L125</f>
        <v>369.5</v>
      </c>
      <c r="N125" s="32" t="n">
        <f aca="false">MONTH(B125)</f>
        <v>1</v>
      </c>
    </row>
    <row r="126" customFormat="false" ht="15" hidden="false" customHeight="false" outlineLevel="0" collapsed="false">
      <c r="A126" s="28" t="n">
        <v>1125</v>
      </c>
      <c r="B126" s="29" t="n">
        <v>46073</v>
      </c>
      <c r="C126" s="30" t="s">
        <v>109</v>
      </c>
      <c r="D126" s="30" t="s">
        <v>121</v>
      </c>
      <c r="E126" s="30" t="s">
        <v>122</v>
      </c>
      <c r="F126" s="30" t="s">
        <v>115</v>
      </c>
      <c r="G126" s="30" t="s">
        <v>113</v>
      </c>
      <c r="H126" s="28" t="n">
        <v>2</v>
      </c>
      <c r="I126" s="31" t="n">
        <v>199.9</v>
      </c>
      <c r="J126" s="31" t="n">
        <v>118</v>
      </c>
      <c r="K126" s="31" t="n">
        <f aca="false">H126*I126</f>
        <v>399.8</v>
      </c>
      <c r="L126" s="31" t="n">
        <f aca="false">H126*J126</f>
        <v>236</v>
      </c>
      <c r="M126" s="31" t="n">
        <f aca="false">K126-L126</f>
        <v>163.8</v>
      </c>
      <c r="N126" s="28" t="n">
        <f aca="false">MONTH(B126)</f>
        <v>2</v>
      </c>
    </row>
    <row r="127" customFormat="false" ht="15" hidden="false" customHeight="false" outlineLevel="0" collapsed="false">
      <c r="A127" s="32" t="n">
        <v>1126</v>
      </c>
      <c r="B127" s="33" t="n">
        <v>46041</v>
      </c>
      <c r="C127" s="34" t="s">
        <v>98</v>
      </c>
      <c r="D127" s="34" t="s">
        <v>99</v>
      </c>
      <c r="E127" s="34" t="s">
        <v>118</v>
      </c>
      <c r="F127" s="34" t="s">
        <v>117</v>
      </c>
      <c r="G127" s="34" t="s">
        <v>113</v>
      </c>
      <c r="H127" s="32" t="n">
        <v>6</v>
      </c>
      <c r="I127" s="35" t="n">
        <v>159.9</v>
      </c>
      <c r="J127" s="35" t="n">
        <v>86</v>
      </c>
      <c r="K127" s="35" t="n">
        <f aca="false">H127*I127</f>
        <v>959.4</v>
      </c>
      <c r="L127" s="35" t="n">
        <f aca="false">H127*J127</f>
        <v>516</v>
      </c>
      <c r="M127" s="35" t="n">
        <f aca="false">K127-L127</f>
        <v>443.4</v>
      </c>
      <c r="N127" s="32" t="n">
        <f aca="false">MONTH(B127)</f>
        <v>1</v>
      </c>
    </row>
    <row r="128" customFormat="false" ht="15" hidden="false" customHeight="false" outlineLevel="0" collapsed="false">
      <c r="A128" s="28" t="n">
        <v>1127</v>
      </c>
      <c r="B128" s="29" t="n">
        <v>46135</v>
      </c>
      <c r="C128" s="30" t="s">
        <v>98</v>
      </c>
      <c r="D128" s="30" t="s">
        <v>99</v>
      </c>
      <c r="E128" s="30" t="s">
        <v>118</v>
      </c>
      <c r="F128" s="30" t="s">
        <v>115</v>
      </c>
      <c r="G128" s="30" t="s">
        <v>102</v>
      </c>
      <c r="H128" s="28" t="n">
        <v>4</v>
      </c>
      <c r="I128" s="31" t="n">
        <v>159.9</v>
      </c>
      <c r="J128" s="31" t="n">
        <v>86</v>
      </c>
      <c r="K128" s="31" t="n">
        <f aca="false">H128*I128</f>
        <v>639.6</v>
      </c>
      <c r="L128" s="31" t="n">
        <f aca="false">H128*J128</f>
        <v>344</v>
      </c>
      <c r="M128" s="31" t="n">
        <f aca="false">K128-L128</f>
        <v>295.6</v>
      </c>
      <c r="N128" s="28" t="n">
        <f aca="false">MONTH(B128)</f>
        <v>4</v>
      </c>
    </row>
    <row r="129" customFormat="false" ht="15" hidden="false" customHeight="false" outlineLevel="0" collapsed="false">
      <c r="A129" s="32" t="n">
        <v>1128</v>
      </c>
      <c r="B129" s="33" t="n">
        <v>46149</v>
      </c>
      <c r="C129" s="34" t="s">
        <v>109</v>
      </c>
      <c r="D129" s="34" t="s">
        <v>104</v>
      </c>
      <c r="E129" s="34" t="s">
        <v>116</v>
      </c>
      <c r="F129" s="34" t="s">
        <v>115</v>
      </c>
      <c r="G129" s="34" t="s">
        <v>102</v>
      </c>
      <c r="H129" s="32" t="n">
        <v>6</v>
      </c>
      <c r="I129" s="35" t="n">
        <v>249.9</v>
      </c>
      <c r="J129" s="35" t="n">
        <v>155</v>
      </c>
      <c r="K129" s="35" t="n">
        <f aca="false">H129*I129</f>
        <v>1499.4</v>
      </c>
      <c r="L129" s="35" t="n">
        <f aca="false">H129*J129</f>
        <v>930</v>
      </c>
      <c r="M129" s="35" t="n">
        <f aca="false">K129-L129</f>
        <v>569.4</v>
      </c>
      <c r="N129" s="32" t="n">
        <f aca="false">MONTH(B129)</f>
        <v>5</v>
      </c>
    </row>
    <row r="130" customFormat="false" ht="15" hidden="false" customHeight="false" outlineLevel="0" collapsed="false">
      <c r="A130" s="28" t="n">
        <v>1129</v>
      </c>
      <c r="B130" s="29" t="n">
        <v>46029</v>
      </c>
      <c r="C130" s="30" t="s">
        <v>98</v>
      </c>
      <c r="D130" s="30" t="s">
        <v>104</v>
      </c>
      <c r="E130" s="30" t="s">
        <v>105</v>
      </c>
      <c r="F130" s="30" t="s">
        <v>115</v>
      </c>
      <c r="G130" s="30" t="s">
        <v>102</v>
      </c>
      <c r="H130" s="28" t="n">
        <v>7</v>
      </c>
      <c r="I130" s="31" t="n">
        <v>99.9</v>
      </c>
      <c r="J130" s="31" t="n">
        <v>52</v>
      </c>
      <c r="K130" s="31" t="n">
        <f aca="false">H130*I130</f>
        <v>699.3</v>
      </c>
      <c r="L130" s="31" t="n">
        <f aca="false">H130*J130</f>
        <v>364</v>
      </c>
      <c r="M130" s="31" t="n">
        <f aca="false">K130-L130</f>
        <v>335.3</v>
      </c>
      <c r="N130" s="28" t="n">
        <f aca="false">MONTH(B130)</f>
        <v>1</v>
      </c>
    </row>
    <row r="131" customFormat="false" ht="15" hidden="false" customHeight="false" outlineLevel="0" collapsed="false">
      <c r="A131" s="32" t="n">
        <v>1130</v>
      </c>
      <c r="B131" s="33" t="n">
        <v>46067</v>
      </c>
      <c r="C131" s="34" t="s">
        <v>109</v>
      </c>
      <c r="D131" s="34" t="s">
        <v>110</v>
      </c>
      <c r="E131" s="34" t="s">
        <v>119</v>
      </c>
      <c r="F131" s="34" t="s">
        <v>117</v>
      </c>
      <c r="G131" s="34" t="s">
        <v>107</v>
      </c>
      <c r="H131" s="32" t="n">
        <v>2</v>
      </c>
      <c r="I131" s="35" t="n">
        <v>119.9</v>
      </c>
      <c r="J131" s="35" t="n">
        <v>55</v>
      </c>
      <c r="K131" s="35" t="n">
        <f aca="false">H131*I131</f>
        <v>239.8</v>
      </c>
      <c r="L131" s="35" t="n">
        <f aca="false">H131*J131</f>
        <v>110</v>
      </c>
      <c r="M131" s="35" t="n">
        <f aca="false">K131-L131</f>
        <v>129.8</v>
      </c>
      <c r="N131" s="32" t="n">
        <f aca="false">MONTH(B131)</f>
        <v>2</v>
      </c>
    </row>
    <row r="132" customFormat="false" ht="15" hidden="false" customHeight="false" outlineLevel="0" collapsed="false">
      <c r="A132" s="28" t="n">
        <v>1131</v>
      </c>
      <c r="B132" s="29" t="n">
        <v>46148</v>
      </c>
      <c r="C132" s="30" t="s">
        <v>124</v>
      </c>
      <c r="D132" s="30" t="s">
        <v>110</v>
      </c>
      <c r="E132" s="30" t="s">
        <v>119</v>
      </c>
      <c r="F132" s="30" t="s">
        <v>115</v>
      </c>
      <c r="G132" s="30" t="s">
        <v>107</v>
      </c>
      <c r="H132" s="28" t="n">
        <v>4</v>
      </c>
      <c r="I132" s="31" t="n">
        <v>119.9</v>
      </c>
      <c r="J132" s="31" t="n">
        <v>55</v>
      </c>
      <c r="K132" s="31" t="n">
        <f aca="false">H132*I132</f>
        <v>479.6</v>
      </c>
      <c r="L132" s="31" t="n">
        <f aca="false">H132*J132</f>
        <v>220</v>
      </c>
      <c r="M132" s="31" t="n">
        <f aca="false">K132-L132</f>
        <v>259.6</v>
      </c>
      <c r="N132" s="28" t="n">
        <f aca="false">MONTH(B132)</f>
        <v>5</v>
      </c>
    </row>
    <row r="133" customFormat="false" ht="15" hidden="false" customHeight="false" outlineLevel="0" collapsed="false">
      <c r="A133" s="32" t="n">
        <v>1132</v>
      </c>
      <c r="B133" s="33" t="n">
        <v>46049</v>
      </c>
      <c r="C133" s="34" t="s">
        <v>124</v>
      </c>
      <c r="D133" s="34" t="s">
        <v>99</v>
      </c>
      <c r="E133" s="34" t="s">
        <v>112</v>
      </c>
      <c r="F133" s="34" t="s">
        <v>123</v>
      </c>
      <c r="G133" s="34" t="s">
        <v>107</v>
      </c>
      <c r="H133" s="32" t="n">
        <v>6</v>
      </c>
      <c r="I133" s="35" t="n">
        <v>69.9</v>
      </c>
      <c r="J133" s="35" t="n">
        <v>29</v>
      </c>
      <c r="K133" s="35" t="n">
        <f aca="false">H133*I133</f>
        <v>419.4</v>
      </c>
      <c r="L133" s="35" t="n">
        <f aca="false">H133*J133</f>
        <v>174</v>
      </c>
      <c r="M133" s="35" t="n">
        <f aca="false">K133-L133</f>
        <v>245.4</v>
      </c>
      <c r="N133" s="32" t="n">
        <f aca="false">MONTH(B133)</f>
        <v>1</v>
      </c>
    </row>
    <row r="134" customFormat="false" ht="15" hidden="false" customHeight="false" outlineLevel="0" collapsed="false">
      <c r="A134" s="28" t="n">
        <v>1133</v>
      </c>
      <c r="B134" s="29" t="n">
        <v>46125</v>
      </c>
      <c r="C134" s="30" t="s">
        <v>103</v>
      </c>
      <c r="D134" s="30" t="s">
        <v>104</v>
      </c>
      <c r="E134" s="30" t="s">
        <v>116</v>
      </c>
      <c r="F134" s="30" t="s">
        <v>115</v>
      </c>
      <c r="G134" s="30" t="s">
        <v>107</v>
      </c>
      <c r="H134" s="28" t="n">
        <v>1</v>
      </c>
      <c r="I134" s="31" t="n">
        <v>249.9</v>
      </c>
      <c r="J134" s="31" t="n">
        <v>155</v>
      </c>
      <c r="K134" s="31" t="n">
        <f aca="false">H134*I134</f>
        <v>249.9</v>
      </c>
      <c r="L134" s="31" t="n">
        <f aca="false">H134*J134</f>
        <v>155</v>
      </c>
      <c r="M134" s="31" t="n">
        <f aca="false">K134-L134</f>
        <v>94.9</v>
      </c>
      <c r="N134" s="28" t="n">
        <f aca="false">MONTH(B134)</f>
        <v>4</v>
      </c>
    </row>
    <row r="135" customFormat="false" ht="15" hidden="false" customHeight="false" outlineLevel="0" collapsed="false">
      <c r="A135" s="32" t="n">
        <v>1134</v>
      </c>
      <c r="B135" s="33" t="n">
        <v>46052</v>
      </c>
      <c r="C135" s="34" t="s">
        <v>124</v>
      </c>
      <c r="D135" s="34" t="s">
        <v>110</v>
      </c>
      <c r="E135" s="34" t="s">
        <v>111</v>
      </c>
      <c r="F135" s="34" t="s">
        <v>106</v>
      </c>
      <c r="G135" s="34" t="s">
        <v>102</v>
      </c>
      <c r="H135" s="32" t="n">
        <v>7</v>
      </c>
      <c r="I135" s="35" t="n">
        <v>129.9</v>
      </c>
      <c r="J135" s="35" t="n">
        <v>61</v>
      </c>
      <c r="K135" s="35" t="n">
        <f aca="false">H135*I135</f>
        <v>909.3</v>
      </c>
      <c r="L135" s="35" t="n">
        <f aca="false">H135*J135</f>
        <v>427</v>
      </c>
      <c r="M135" s="35" t="n">
        <f aca="false">K135-L135</f>
        <v>482.3</v>
      </c>
      <c r="N135" s="32" t="n">
        <f aca="false">MONTH(B135)</f>
        <v>1</v>
      </c>
    </row>
    <row r="136" customFormat="false" ht="15" hidden="false" customHeight="false" outlineLevel="0" collapsed="false">
      <c r="A136" s="28" t="n">
        <v>1135</v>
      </c>
      <c r="B136" s="29" t="n">
        <v>46161</v>
      </c>
      <c r="C136" s="30" t="s">
        <v>109</v>
      </c>
      <c r="D136" s="30" t="s">
        <v>104</v>
      </c>
      <c r="E136" s="30" t="s">
        <v>120</v>
      </c>
      <c r="F136" s="30" t="s">
        <v>115</v>
      </c>
      <c r="G136" s="30" t="s">
        <v>102</v>
      </c>
      <c r="H136" s="28" t="n">
        <v>5</v>
      </c>
      <c r="I136" s="31" t="n">
        <v>149.9</v>
      </c>
      <c r="J136" s="31" t="n">
        <v>88</v>
      </c>
      <c r="K136" s="31" t="n">
        <f aca="false">H136*I136</f>
        <v>749.5</v>
      </c>
      <c r="L136" s="31" t="n">
        <f aca="false">H136*J136</f>
        <v>440</v>
      </c>
      <c r="M136" s="31" t="n">
        <f aca="false">K136-L136</f>
        <v>309.5</v>
      </c>
      <c r="N136" s="28" t="n">
        <f aca="false">MONTH(B136)</f>
        <v>5</v>
      </c>
    </row>
    <row r="137" customFormat="false" ht="15" hidden="false" customHeight="false" outlineLevel="0" collapsed="false">
      <c r="A137" s="32" t="n">
        <v>1136</v>
      </c>
      <c r="B137" s="33" t="n">
        <v>46150</v>
      </c>
      <c r="C137" s="34" t="s">
        <v>109</v>
      </c>
      <c r="D137" s="34" t="s">
        <v>104</v>
      </c>
      <c r="E137" s="34" t="s">
        <v>120</v>
      </c>
      <c r="F137" s="34" t="s">
        <v>117</v>
      </c>
      <c r="G137" s="34" t="s">
        <v>107</v>
      </c>
      <c r="H137" s="32" t="n">
        <v>3</v>
      </c>
      <c r="I137" s="35" t="n">
        <v>149.9</v>
      </c>
      <c r="J137" s="35" t="n">
        <v>88</v>
      </c>
      <c r="K137" s="35" t="n">
        <f aca="false">H137*I137</f>
        <v>449.7</v>
      </c>
      <c r="L137" s="35" t="n">
        <f aca="false">H137*J137</f>
        <v>264</v>
      </c>
      <c r="M137" s="35" t="n">
        <f aca="false">K137-L137</f>
        <v>185.7</v>
      </c>
      <c r="N137" s="32" t="n">
        <f aca="false">MONTH(B137)</f>
        <v>5</v>
      </c>
    </row>
    <row r="138" customFormat="false" ht="15" hidden="false" customHeight="false" outlineLevel="0" collapsed="false">
      <c r="A138" s="28" t="n">
        <v>1137</v>
      </c>
      <c r="B138" s="29" t="n">
        <v>46096</v>
      </c>
      <c r="C138" s="30" t="s">
        <v>109</v>
      </c>
      <c r="D138" s="30" t="s">
        <v>110</v>
      </c>
      <c r="E138" s="30" t="s">
        <v>114</v>
      </c>
      <c r="F138" s="30" t="s">
        <v>108</v>
      </c>
      <c r="G138" s="30" t="s">
        <v>102</v>
      </c>
      <c r="H138" s="28" t="n">
        <v>1</v>
      </c>
      <c r="I138" s="31" t="n">
        <v>39.9</v>
      </c>
      <c r="J138" s="31" t="n">
        <v>14</v>
      </c>
      <c r="K138" s="31" t="n">
        <f aca="false">H138*I138</f>
        <v>39.9</v>
      </c>
      <c r="L138" s="31" t="n">
        <f aca="false">H138*J138</f>
        <v>14</v>
      </c>
      <c r="M138" s="31" t="n">
        <f aca="false">K138-L138</f>
        <v>25.9</v>
      </c>
      <c r="N138" s="28" t="n">
        <f aca="false">MONTH(B138)</f>
        <v>3</v>
      </c>
    </row>
    <row r="139" customFormat="false" ht="15" hidden="false" customHeight="false" outlineLevel="0" collapsed="false">
      <c r="A139" s="32" t="n">
        <v>1138</v>
      </c>
      <c r="B139" s="33" t="n">
        <v>46084</v>
      </c>
      <c r="C139" s="34" t="s">
        <v>103</v>
      </c>
      <c r="D139" s="34" t="s">
        <v>99</v>
      </c>
      <c r="E139" s="34" t="s">
        <v>118</v>
      </c>
      <c r="F139" s="34" t="s">
        <v>117</v>
      </c>
      <c r="G139" s="34" t="s">
        <v>107</v>
      </c>
      <c r="H139" s="32" t="n">
        <v>1</v>
      </c>
      <c r="I139" s="35" t="n">
        <v>159.9</v>
      </c>
      <c r="J139" s="35" t="n">
        <v>86</v>
      </c>
      <c r="K139" s="35" t="n">
        <f aca="false">H139*I139</f>
        <v>159.9</v>
      </c>
      <c r="L139" s="35" t="n">
        <f aca="false">H139*J139</f>
        <v>86</v>
      </c>
      <c r="M139" s="35" t="n">
        <f aca="false">K139-L139</f>
        <v>73.9</v>
      </c>
      <c r="N139" s="32" t="n">
        <f aca="false">MONTH(B139)</f>
        <v>3</v>
      </c>
    </row>
    <row r="140" customFormat="false" ht="15" hidden="false" customHeight="false" outlineLevel="0" collapsed="false">
      <c r="A140" s="28" t="n">
        <v>1139</v>
      </c>
      <c r="B140" s="29" t="n">
        <v>46080</v>
      </c>
      <c r="C140" s="30" t="s">
        <v>124</v>
      </c>
      <c r="D140" s="30" t="s">
        <v>104</v>
      </c>
      <c r="E140" s="30" t="s">
        <v>116</v>
      </c>
      <c r="F140" s="30" t="s">
        <v>108</v>
      </c>
      <c r="G140" s="30" t="s">
        <v>113</v>
      </c>
      <c r="H140" s="28" t="n">
        <v>1</v>
      </c>
      <c r="I140" s="31" t="n">
        <v>249.9</v>
      </c>
      <c r="J140" s="31" t="n">
        <v>155</v>
      </c>
      <c r="K140" s="31" t="n">
        <f aca="false">H140*I140</f>
        <v>249.9</v>
      </c>
      <c r="L140" s="31" t="n">
        <f aca="false">H140*J140</f>
        <v>155</v>
      </c>
      <c r="M140" s="31" t="n">
        <f aca="false">K140-L140</f>
        <v>94.9</v>
      </c>
      <c r="N140" s="28" t="n">
        <f aca="false">MONTH(B140)</f>
        <v>2</v>
      </c>
    </row>
    <row r="141" customFormat="false" ht="15" hidden="false" customHeight="false" outlineLevel="0" collapsed="false">
      <c r="A141" s="32" t="n">
        <v>1140</v>
      </c>
      <c r="B141" s="33" t="n">
        <v>46150</v>
      </c>
      <c r="C141" s="34" t="s">
        <v>124</v>
      </c>
      <c r="D141" s="34" t="s">
        <v>99</v>
      </c>
      <c r="E141" s="34" t="s">
        <v>118</v>
      </c>
      <c r="F141" s="34" t="s">
        <v>115</v>
      </c>
      <c r="G141" s="34" t="s">
        <v>107</v>
      </c>
      <c r="H141" s="32" t="n">
        <v>6</v>
      </c>
      <c r="I141" s="35" t="n">
        <v>159.9</v>
      </c>
      <c r="J141" s="35" t="n">
        <v>86</v>
      </c>
      <c r="K141" s="35" t="n">
        <f aca="false">H141*I141</f>
        <v>959.4</v>
      </c>
      <c r="L141" s="35" t="n">
        <f aca="false">H141*J141</f>
        <v>516</v>
      </c>
      <c r="M141" s="35" t="n">
        <f aca="false">K141-L141</f>
        <v>443.4</v>
      </c>
      <c r="N141" s="32" t="n">
        <f aca="false">MONTH(B141)</f>
        <v>5</v>
      </c>
    </row>
    <row r="142" customFormat="false" ht="15" hidden="false" customHeight="false" outlineLevel="0" collapsed="false">
      <c r="A142" s="28" t="n">
        <v>1141</v>
      </c>
      <c r="B142" s="29" t="n">
        <v>46146</v>
      </c>
      <c r="C142" s="30" t="s">
        <v>124</v>
      </c>
      <c r="D142" s="30" t="s">
        <v>121</v>
      </c>
      <c r="E142" s="30" t="s">
        <v>125</v>
      </c>
      <c r="F142" s="30" t="s">
        <v>101</v>
      </c>
      <c r="G142" s="30" t="s">
        <v>107</v>
      </c>
      <c r="H142" s="28" t="n">
        <v>5</v>
      </c>
      <c r="I142" s="31" t="n">
        <v>49.9</v>
      </c>
      <c r="J142" s="31" t="n">
        <v>23</v>
      </c>
      <c r="K142" s="31" t="n">
        <f aca="false">H142*I142</f>
        <v>249.5</v>
      </c>
      <c r="L142" s="31" t="n">
        <f aca="false">H142*J142</f>
        <v>115</v>
      </c>
      <c r="M142" s="31" t="n">
        <f aca="false">K142-L142</f>
        <v>134.5</v>
      </c>
      <c r="N142" s="28" t="n">
        <f aca="false">MONTH(B142)</f>
        <v>5</v>
      </c>
    </row>
    <row r="143" customFormat="false" ht="15" hidden="false" customHeight="false" outlineLevel="0" collapsed="false">
      <c r="A143" s="32" t="n">
        <v>1142</v>
      </c>
      <c r="B143" s="33" t="n">
        <v>46176</v>
      </c>
      <c r="C143" s="34" t="s">
        <v>109</v>
      </c>
      <c r="D143" s="34" t="s">
        <v>121</v>
      </c>
      <c r="E143" s="34" t="s">
        <v>126</v>
      </c>
      <c r="F143" s="34" t="s">
        <v>123</v>
      </c>
      <c r="G143" s="34" t="s">
        <v>107</v>
      </c>
      <c r="H143" s="32" t="n">
        <v>3</v>
      </c>
      <c r="I143" s="35" t="n">
        <v>79.9</v>
      </c>
      <c r="J143" s="35" t="n">
        <v>39</v>
      </c>
      <c r="K143" s="35" t="n">
        <f aca="false">H143*I143</f>
        <v>239.7</v>
      </c>
      <c r="L143" s="35" t="n">
        <f aca="false">H143*J143</f>
        <v>117</v>
      </c>
      <c r="M143" s="35" t="n">
        <f aca="false">K143-L143</f>
        <v>122.7</v>
      </c>
      <c r="N143" s="32" t="n">
        <f aca="false">MONTH(B143)</f>
        <v>6</v>
      </c>
    </row>
    <row r="144" customFormat="false" ht="15" hidden="false" customHeight="false" outlineLevel="0" collapsed="false">
      <c r="A144" s="28" t="n">
        <v>1143</v>
      </c>
      <c r="B144" s="29" t="n">
        <v>46152</v>
      </c>
      <c r="C144" s="30" t="s">
        <v>98</v>
      </c>
      <c r="D144" s="30" t="s">
        <v>104</v>
      </c>
      <c r="E144" s="30" t="s">
        <v>116</v>
      </c>
      <c r="F144" s="30" t="s">
        <v>115</v>
      </c>
      <c r="G144" s="30" t="s">
        <v>113</v>
      </c>
      <c r="H144" s="28" t="n">
        <v>6</v>
      </c>
      <c r="I144" s="31" t="n">
        <v>249.9</v>
      </c>
      <c r="J144" s="31" t="n">
        <v>155</v>
      </c>
      <c r="K144" s="31" t="n">
        <f aca="false">H144*I144</f>
        <v>1499.4</v>
      </c>
      <c r="L144" s="31" t="n">
        <f aca="false">H144*J144</f>
        <v>930</v>
      </c>
      <c r="M144" s="31" t="n">
        <f aca="false">K144-L144</f>
        <v>569.4</v>
      </c>
      <c r="N144" s="28" t="n">
        <f aca="false">MONTH(B144)</f>
        <v>5</v>
      </c>
    </row>
    <row r="145" customFormat="false" ht="15" hidden="false" customHeight="false" outlineLevel="0" collapsed="false">
      <c r="A145" s="32" t="n">
        <v>1144</v>
      </c>
      <c r="B145" s="33" t="n">
        <v>46171</v>
      </c>
      <c r="C145" s="34" t="s">
        <v>124</v>
      </c>
      <c r="D145" s="34" t="s">
        <v>110</v>
      </c>
      <c r="E145" s="34" t="s">
        <v>114</v>
      </c>
      <c r="F145" s="34" t="s">
        <v>117</v>
      </c>
      <c r="G145" s="34" t="s">
        <v>102</v>
      </c>
      <c r="H145" s="32" t="n">
        <v>4</v>
      </c>
      <c r="I145" s="35" t="n">
        <v>39.9</v>
      </c>
      <c r="J145" s="35" t="n">
        <v>14</v>
      </c>
      <c r="K145" s="35" t="n">
        <f aca="false">H145*I145</f>
        <v>159.6</v>
      </c>
      <c r="L145" s="35" t="n">
        <f aca="false">H145*J145</f>
        <v>56</v>
      </c>
      <c r="M145" s="35" t="n">
        <f aca="false">K145-L145</f>
        <v>103.6</v>
      </c>
      <c r="N145" s="32" t="n">
        <f aca="false">MONTH(B145)</f>
        <v>5</v>
      </c>
    </row>
    <row r="146" customFormat="false" ht="15" hidden="false" customHeight="false" outlineLevel="0" collapsed="false">
      <c r="A146" s="28" t="n">
        <v>1145</v>
      </c>
      <c r="B146" s="29" t="n">
        <v>46108</v>
      </c>
      <c r="C146" s="30" t="s">
        <v>109</v>
      </c>
      <c r="D146" s="30" t="s">
        <v>110</v>
      </c>
      <c r="E146" s="30" t="s">
        <v>119</v>
      </c>
      <c r="F146" s="30" t="s">
        <v>101</v>
      </c>
      <c r="G146" s="30" t="s">
        <v>113</v>
      </c>
      <c r="H146" s="28" t="n">
        <v>3</v>
      </c>
      <c r="I146" s="31" t="n">
        <v>119.9</v>
      </c>
      <c r="J146" s="31" t="n">
        <v>55</v>
      </c>
      <c r="K146" s="31" t="n">
        <f aca="false">H146*I146</f>
        <v>359.7</v>
      </c>
      <c r="L146" s="31" t="n">
        <f aca="false">H146*J146</f>
        <v>165</v>
      </c>
      <c r="M146" s="31" t="n">
        <f aca="false">K146-L146</f>
        <v>194.7</v>
      </c>
      <c r="N146" s="28" t="n">
        <f aca="false">MONTH(B146)</f>
        <v>3</v>
      </c>
    </row>
    <row r="147" customFormat="false" ht="15" hidden="false" customHeight="false" outlineLevel="0" collapsed="false">
      <c r="A147" s="32" t="n">
        <v>1146</v>
      </c>
      <c r="B147" s="33" t="n">
        <v>46084</v>
      </c>
      <c r="C147" s="34" t="s">
        <v>109</v>
      </c>
      <c r="D147" s="34" t="s">
        <v>121</v>
      </c>
      <c r="E147" s="34" t="s">
        <v>125</v>
      </c>
      <c r="F147" s="34" t="s">
        <v>115</v>
      </c>
      <c r="G147" s="34" t="s">
        <v>102</v>
      </c>
      <c r="H147" s="32" t="n">
        <v>1</v>
      </c>
      <c r="I147" s="35" t="n">
        <v>49.9</v>
      </c>
      <c r="J147" s="35" t="n">
        <v>23</v>
      </c>
      <c r="K147" s="35" t="n">
        <f aca="false">H147*I147</f>
        <v>49.9</v>
      </c>
      <c r="L147" s="35" t="n">
        <f aca="false">H147*J147</f>
        <v>23</v>
      </c>
      <c r="M147" s="35" t="n">
        <f aca="false">K147-L147</f>
        <v>26.9</v>
      </c>
      <c r="N147" s="32" t="n">
        <f aca="false">MONTH(B147)</f>
        <v>3</v>
      </c>
    </row>
    <row r="148" customFormat="false" ht="15" hidden="false" customHeight="false" outlineLevel="0" collapsed="false">
      <c r="A148" s="28" t="n">
        <v>1147</v>
      </c>
      <c r="B148" s="29" t="n">
        <v>46203</v>
      </c>
      <c r="C148" s="30" t="s">
        <v>124</v>
      </c>
      <c r="D148" s="30" t="s">
        <v>110</v>
      </c>
      <c r="E148" s="30" t="s">
        <v>119</v>
      </c>
      <c r="F148" s="30" t="s">
        <v>108</v>
      </c>
      <c r="G148" s="30" t="s">
        <v>113</v>
      </c>
      <c r="H148" s="28" t="n">
        <v>6</v>
      </c>
      <c r="I148" s="31" t="n">
        <v>119.9</v>
      </c>
      <c r="J148" s="31" t="n">
        <v>55</v>
      </c>
      <c r="K148" s="31" t="n">
        <f aca="false">H148*I148</f>
        <v>719.4</v>
      </c>
      <c r="L148" s="31" t="n">
        <f aca="false">H148*J148</f>
        <v>330</v>
      </c>
      <c r="M148" s="31" t="n">
        <f aca="false">K148-L148</f>
        <v>389.4</v>
      </c>
      <c r="N148" s="28" t="n">
        <f aca="false">MONTH(B148)</f>
        <v>6</v>
      </c>
    </row>
    <row r="149" customFormat="false" ht="15" hidden="false" customHeight="false" outlineLevel="0" collapsed="false">
      <c r="A149" s="32" t="n">
        <v>1148</v>
      </c>
      <c r="B149" s="33" t="n">
        <v>46149</v>
      </c>
      <c r="C149" s="34" t="s">
        <v>124</v>
      </c>
      <c r="D149" s="34" t="s">
        <v>121</v>
      </c>
      <c r="E149" s="34" t="s">
        <v>122</v>
      </c>
      <c r="F149" s="34" t="s">
        <v>115</v>
      </c>
      <c r="G149" s="34" t="s">
        <v>113</v>
      </c>
      <c r="H149" s="32" t="n">
        <v>5</v>
      </c>
      <c r="I149" s="35" t="n">
        <v>199.9</v>
      </c>
      <c r="J149" s="35" t="n">
        <v>118</v>
      </c>
      <c r="K149" s="35" t="n">
        <f aca="false">H149*I149</f>
        <v>999.5</v>
      </c>
      <c r="L149" s="35" t="n">
        <f aca="false">H149*J149</f>
        <v>590</v>
      </c>
      <c r="M149" s="35" t="n">
        <f aca="false">K149-L149</f>
        <v>409.5</v>
      </c>
      <c r="N149" s="32" t="n">
        <f aca="false">MONTH(B149)</f>
        <v>5</v>
      </c>
    </row>
    <row r="150" customFormat="false" ht="15" hidden="false" customHeight="false" outlineLevel="0" collapsed="false">
      <c r="A150" s="28" t="n">
        <v>1149</v>
      </c>
      <c r="B150" s="29" t="n">
        <v>46135</v>
      </c>
      <c r="C150" s="30" t="s">
        <v>98</v>
      </c>
      <c r="D150" s="30" t="s">
        <v>110</v>
      </c>
      <c r="E150" s="30" t="s">
        <v>114</v>
      </c>
      <c r="F150" s="30" t="s">
        <v>101</v>
      </c>
      <c r="G150" s="30" t="s">
        <v>107</v>
      </c>
      <c r="H150" s="28" t="n">
        <v>6</v>
      </c>
      <c r="I150" s="31" t="n">
        <v>39.9</v>
      </c>
      <c r="J150" s="31" t="n">
        <v>14</v>
      </c>
      <c r="K150" s="31" t="n">
        <f aca="false">H150*I150</f>
        <v>239.4</v>
      </c>
      <c r="L150" s="31" t="n">
        <f aca="false">H150*J150</f>
        <v>84</v>
      </c>
      <c r="M150" s="31" t="n">
        <f aca="false">K150-L150</f>
        <v>155.4</v>
      </c>
      <c r="N150" s="28" t="n">
        <f aca="false">MONTH(B150)</f>
        <v>4</v>
      </c>
    </row>
    <row r="151" customFormat="false" ht="15" hidden="false" customHeight="false" outlineLevel="0" collapsed="false">
      <c r="A151" s="32" t="n">
        <v>1150</v>
      </c>
      <c r="B151" s="33" t="n">
        <v>46190</v>
      </c>
      <c r="C151" s="34" t="s">
        <v>124</v>
      </c>
      <c r="D151" s="34" t="s">
        <v>104</v>
      </c>
      <c r="E151" s="34" t="s">
        <v>116</v>
      </c>
      <c r="F151" s="34" t="s">
        <v>115</v>
      </c>
      <c r="G151" s="34" t="s">
        <v>107</v>
      </c>
      <c r="H151" s="32" t="n">
        <v>7</v>
      </c>
      <c r="I151" s="35" t="n">
        <v>249.9</v>
      </c>
      <c r="J151" s="35" t="n">
        <v>155</v>
      </c>
      <c r="K151" s="35" t="n">
        <f aca="false">H151*I151</f>
        <v>1749.3</v>
      </c>
      <c r="L151" s="35" t="n">
        <f aca="false">H151*J151</f>
        <v>1085</v>
      </c>
      <c r="M151" s="35" t="n">
        <f aca="false">K151-L151</f>
        <v>664.3</v>
      </c>
      <c r="N151" s="32" t="n">
        <f aca="false">MONTH(B151)</f>
        <v>6</v>
      </c>
    </row>
    <row r="152" customFormat="false" ht="15" hidden="false" customHeight="false" outlineLevel="0" collapsed="false">
      <c r="A152" s="28" t="n">
        <v>1151</v>
      </c>
      <c r="B152" s="29" t="n">
        <v>46200</v>
      </c>
      <c r="C152" s="30" t="s">
        <v>109</v>
      </c>
      <c r="D152" s="30" t="s">
        <v>104</v>
      </c>
      <c r="E152" s="30" t="s">
        <v>116</v>
      </c>
      <c r="F152" s="30" t="s">
        <v>108</v>
      </c>
      <c r="G152" s="30" t="s">
        <v>113</v>
      </c>
      <c r="H152" s="28" t="n">
        <v>7</v>
      </c>
      <c r="I152" s="31" t="n">
        <v>249.9</v>
      </c>
      <c r="J152" s="31" t="n">
        <v>155</v>
      </c>
      <c r="K152" s="31" t="n">
        <f aca="false">H152*I152</f>
        <v>1749.3</v>
      </c>
      <c r="L152" s="31" t="n">
        <f aca="false">H152*J152</f>
        <v>1085</v>
      </c>
      <c r="M152" s="31" t="n">
        <f aca="false">K152-L152</f>
        <v>664.3</v>
      </c>
      <c r="N152" s="28" t="n">
        <f aca="false">MONTH(B152)</f>
        <v>6</v>
      </c>
    </row>
    <row r="153" customFormat="false" ht="15" hidden="false" customHeight="false" outlineLevel="0" collapsed="false">
      <c r="A153" s="32" t="n">
        <v>1152</v>
      </c>
      <c r="B153" s="33" t="n">
        <v>46120</v>
      </c>
      <c r="C153" s="34" t="s">
        <v>124</v>
      </c>
      <c r="D153" s="34" t="s">
        <v>110</v>
      </c>
      <c r="E153" s="34" t="s">
        <v>111</v>
      </c>
      <c r="F153" s="34" t="s">
        <v>117</v>
      </c>
      <c r="G153" s="34" t="s">
        <v>107</v>
      </c>
      <c r="H153" s="32" t="n">
        <v>1</v>
      </c>
      <c r="I153" s="35" t="n">
        <v>129.9</v>
      </c>
      <c r="J153" s="35" t="n">
        <v>61</v>
      </c>
      <c r="K153" s="35" t="n">
        <f aca="false">H153*I153</f>
        <v>129.9</v>
      </c>
      <c r="L153" s="35" t="n">
        <f aca="false">H153*J153</f>
        <v>61</v>
      </c>
      <c r="M153" s="35" t="n">
        <f aca="false">K153-L153</f>
        <v>68.9</v>
      </c>
      <c r="N153" s="32" t="n">
        <f aca="false">MONTH(B153)</f>
        <v>4</v>
      </c>
    </row>
    <row r="154" customFormat="false" ht="15" hidden="false" customHeight="false" outlineLevel="0" collapsed="false">
      <c r="A154" s="28" t="n">
        <v>1153</v>
      </c>
      <c r="B154" s="29" t="n">
        <v>46184</v>
      </c>
      <c r="C154" s="30" t="s">
        <v>103</v>
      </c>
      <c r="D154" s="30" t="s">
        <v>99</v>
      </c>
      <c r="E154" s="30" t="s">
        <v>100</v>
      </c>
      <c r="F154" s="30" t="s">
        <v>106</v>
      </c>
      <c r="G154" s="30" t="s">
        <v>107</v>
      </c>
      <c r="H154" s="28" t="n">
        <v>6</v>
      </c>
      <c r="I154" s="31" t="n">
        <v>89.9</v>
      </c>
      <c r="J154" s="31" t="n">
        <v>41</v>
      </c>
      <c r="K154" s="31" t="n">
        <f aca="false">H154*I154</f>
        <v>539.4</v>
      </c>
      <c r="L154" s="31" t="n">
        <f aca="false">H154*J154</f>
        <v>246</v>
      </c>
      <c r="M154" s="31" t="n">
        <f aca="false">K154-L154</f>
        <v>293.4</v>
      </c>
      <c r="N154" s="28" t="n">
        <f aca="false">MONTH(B154)</f>
        <v>6</v>
      </c>
    </row>
    <row r="155" customFormat="false" ht="15" hidden="false" customHeight="false" outlineLevel="0" collapsed="false">
      <c r="A155" s="32" t="n">
        <v>1154</v>
      </c>
      <c r="B155" s="33" t="n">
        <v>46048</v>
      </c>
      <c r="C155" s="34" t="s">
        <v>103</v>
      </c>
      <c r="D155" s="34" t="s">
        <v>104</v>
      </c>
      <c r="E155" s="34" t="s">
        <v>116</v>
      </c>
      <c r="F155" s="34" t="s">
        <v>108</v>
      </c>
      <c r="G155" s="34" t="s">
        <v>107</v>
      </c>
      <c r="H155" s="32" t="n">
        <v>2</v>
      </c>
      <c r="I155" s="35" t="n">
        <v>249.9</v>
      </c>
      <c r="J155" s="35" t="n">
        <v>155</v>
      </c>
      <c r="K155" s="35" t="n">
        <f aca="false">H155*I155</f>
        <v>499.8</v>
      </c>
      <c r="L155" s="35" t="n">
        <f aca="false">H155*J155</f>
        <v>310</v>
      </c>
      <c r="M155" s="35" t="n">
        <f aca="false">K155-L155</f>
        <v>189.8</v>
      </c>
      <c r="N155" s="32" t="n">
        <f aca="false">MONTH(B155)</f>
        <v>1</v>
      </c>
    </row>
    <row r="156" customFormat="false" ht="15" hidden="false" customHeight="false" outlineLevel="0" collapsed="false">
      <c r="A156" s="28" t="n">
        <v>1155</v>
      </c>
      <c r="B156" s="29" t="n">
        <v>46030</v>
      </c>
      <c r="C156" s="30" t="s">
        <v>98</v>
      </c>
      <c r="D156" s="30" t="s">
        <v>104</v>
      </c>
      <c r="E156" s="30" t="s">
        <v>116</v>
      </c>
      <c r="F156" s="30" t="s">
        <v>115</v>
      </c>
      <c r="G156" s="30" t="s">
        <v>107</v>
      </c>
      <c r="H156" s="28" t="n">
        <v>3</v>
      </c>
      <c r="I156" s="31" t="n">
        <v>249.9</v>
      </c>
      <c r="J156" s="31" t="n">
        <v>155</v>
      </c>
      <c r="K156" s="31" t="n">
        <f aca="false">H156*I156</f>
        <v>749.7</v>
      </c>
      <c r="L156" s="31" t="n">
        <f aca="false">H156*J156</f>
        <v>465</v>
      </c>
      <c r="M156" s="31" t="n">
        <f aca="false">K156-L156</f>
        <v>284.7</v>
      </c>
      <c r="N156" s="28" t="n">
        <f aca="false">MONTH(B156)</f>
        <v>1</v>
      </c>
    </row>
    <row r="157" customFormat="false" ht="15" hidden="false" customHeight="false" outlineLevel="0" collapsed="false">
      <c r="A157" s="32" t="n">
        <v>1156</v>
      </c>
      <c r="B157" s="33" t="n">
        <v>46085</v>
      </c>
      <c r="C157" s="34" t="s">
        <v>109</v>
      </c>
      <c r="D157" s="34" t="s">
        <v>121</v>
      </c>
      <c r="E157" s="34" t="s">
        <v>126</v>
      </c>
      <c r="F157" s="34" t="s">
        <v>106</v>
      </c>
      <c r="G157" s="34" t="s">
        <v>102</v>
      </c>
      <c r="H157" s="32" t="n">
        <v>2</v>
      </c>
      <c r="I157" s="35" t="n">
        <v>79.9</v>
      </c>
      <c r="J157" s="35" t="n">
        <v>39</v>
      </c>
      <c r="K157" s="35" t="n">
        <f aca="false">H157*I157</f>
        <v>159.8</v>
      </c>
      <c r="L157" s="35" t="n">
        <f aca="false">H157*J157</f>
        <v>78</v>
      </c>
      <c r="M157" s="35" t="n">
        <f aca="false">K157-L157</f>
        <v>81.8</v>
      </c>
      <c r="N157" s="32" t="n">
        <f aca="false">MONTH(B157)</f>
        <v>3</v>
      </c>
    </row>
    <row r="158" customFormat="false" ht="15" hidden="false" customHeight="false" outlineLevel="0" collapsed="false">
      <c r="A158" s="28" t="n">
        <v>1157</v>
      </c>
      <c r="B158" s="29" t="n">
        <v>46120</v>
      </c>
      <c r="C158" s="30" t="s">
        <v>109</v>
      </c>
      <c r="D158" s="30" t="s">
        <v>121</v>
      </c>
      <c r="E158" s="30" t="s">
        <v>125</v>
      </c>
      <c r="F158" s="30" t="s">
        <v>101</v>
      </c>
      <c r="G158" s="30" t="s">
        <v>107</v>
      </c>
      <c r="H158" s="28" t="n">
        <v>5</v>
      </c>
      <c r="I158" s="31" t="n">
        <v>49.9</v>
      </c>
      <c r="J158" s="31" t="n">
        <v>23</v>
      </c>
      <c r="K158" s="31" t="n">
        <f aca="false">H158*I158</f>
        <v>249.5</v>
      </c>
      <c r="L158" s="31" t="n">
        <f aca="false">H158*J158</f>
        <v>115</v>
      </c>
      <c r="M158" s="31" t="n">
        <f aca="false">K158-L158</f>
        <v>134.5</v>
      </c>
      <c r="N158" s="28" t="n">
        <f aca="false">MONTH(B158)</f>
        <v>4</v>
      </c>
    </row>
    <row r="159" customFormat="false" ht="15" hidden="false" customHeight="false" outlineLevel="0" collapsed="false">
      <c r="A159" s="32" t="n">
        <v>1158</v>
      </c>
      <c r="B159" s="33" t="n">
        <v>46186</v>
      </c>
      <c r="C159" s="34" t="s">
        <v>98</v>
      </c>
      <c r="D159" s="34" t="s">
        <v>99</v>
      </c>
      <c r="E159" s="34" t="s">
        <v>118</v>
      </c>
      <c r="F159" s="34" t="s">
        <v>123</v>
      </c>
      <c r="G159" s="34" t="s">
        <v>113</v>
      </c>
      <c r="H159" s="32" t="n">
        <v>1</v>
      </c>
      <c r="I159" s="35" t="n">
        <v>159.9</v>
      </c>
      <c r="J159" s="35" t="n">
        <v>86</v>
      </c>
      <c r="K159" s="35" t="n">
        <f aca="false">H159*I159</f>
        <v>159.9</v>
      </c>
      <c r="L159" s="35" t="n">
        <f aca="false">H159*J159</f>
        <v>86</v>
      </c>
      <c r="M159" s="35" t="n">
        <f aca="false">K159-L159</f>
        <v>73.9</v>
      </c>
      <c r="N159" s="32" t="n">
        <f aca="false">MONTH(B159)</f>
        <v>6</v>
      </c>
    </row>
    <row r="160" customFormat="false" ht="15" hidden="false" customHeight="false" outlineLevel="0" collapsed="false">
      <c r="A160" s="28" t="n">
        <v>1159</v>
      </c>
      <c r="B160" s="29" t="n">
        <v>46196</v>
      </c>
      <c r="C160" s="30" t="s">
        <v>109</v>
      </c>
      <c r="D160" s="30" t="s">
        <v>104</v>
      </c>
      <c r="E160" s="30" t="s">
        <v>116</v>
      </c>
      <c r="F160" s="30" t="s">
        <v>117</v>
      </c>
      <c r="G160" s="30" t="s">
        <v>107</v>
      </c>
      <c r="H160" s="28" t="n">
        <v>3</v>
      </c>
      <c r="I160" s="31" t="n">
        <v>249.9</v>
      </c>
      <c r="J160" s="31" t="n">
        <v>155</v>
      </c>
      <c r="K160" s="31" t="n">
        <f aca="false">H160*I160</f>
        <v>749.7</v>
      </c>
      <c r="L160" s="31" t="n">
        <f aca="false">H160*J160</f>
        <v>465</v>
      </c>
      <c r="M160" s="31" t="n">
        <f aca="false">K160-L160</f>
        <v>284.7</v>
      </c>
      <c r="N160" s="28" t="n">
        <f aca="false">MONTH(B160)</f>
        <v>6</v>
      </c>
    </row>
    <row r="161" customFormat="false" ht="15" hidden="false" customHeight="false" outlineLevel="0" collapsed="false">
      <c r="A161" s="32" t="n">
        <v>1160</v>
      </c>
      <c r="B161" s="33" t="n">
        <v>46131</v>
      </c>
      <c r="C161" s="34" t="s">
        <v>103</v>
      </c>
      <c r="D161" s="34" t="s">
        <v>110</v>
      </c>
      <c r="E161" s="34" t="s">
        <v>119</v>
      </c>
      <c r="F161" s="34" t="s">
        <v>123</v>
      </c>
      <c r="G161" s="34" t="s">
        <v>113</v>
      </c>
      <c r="H161" s="32" t="n">
        <v>2</v>
      </c>
      <c r="I161" s="35" t="n">
        <v>119.9</v>
      </c>
      <c r="J161" s="35" t="n">
        <v>55</v>
      </c>
      <c r="K161" s="35" t="n">
        <f aca="false">H161*I161</f>
        <v>239.8</v>
      </c>
      <c r="L161" s="35" t="n">
        <f aca="false">H161*J161</f>
        <v>110</v>
      </c>
      <c r="M161" s="35" t="n">
        <f aca="false">K161-L161</f>
        <v>129.8</v>
      </c>
      <c r="N161" s="32" t="n">
        <f aca="false">MONTH(B161)</f>
        <v>4</v>
      </c>
    </row>
    <row r="162" customFormat="false" ht="15" hidden="false" customHeight="false" outlineLevel="0" collapsed="false">
      <c r="A162" s="28" t="n">
        <v>1161</v>
      </c>
      <c r="B162" s="29" t="n">
        <v>46050</v>
      </c>
      <c r="C162" s="30" t="s">
        <v>98</v>
      </c>
      <c r="D162" s="30" t="s">
        <v>99</v>
      </c>
      <c r="E162" s="30" t="s">
        <v>118</v>
      </c>
      <c r="F162" s="30" t="s">
        <v>108</v>
      </c>
      <c r="G162" s="30" t="s">
        <v>107</v>
      </c>
      <c r="H162" s="28" t="n">
        <v>3</v>
      </c>
      <c r="I162" s="31" t="n">
        <v>159.9</v>
      </c>
      <c r="J162" s="31" t="n">
        <v>86</v>
      </c>
      <c r="K162" s="31" t="n">
        <f aca="false">H162*I162</f>
        <v>479.7</v>
      </c>
      <c r="L162" s="31" t="n">
        <f aca="false">H162*J162</f>
        <v>258</v>
      </c>
      <c r="M162" s="31" t="n">
        <f aca="false">K162-L162</f>
        <v>221.7</v>
      </c>
      <c r="N162" s="28" t="n">
        <f aca="false">MONTH(B162)</f>
        <v>1</v>
      </c>
    </row>
    <row r="163" customFormat="false" ht="15" hidden="false" customHeight="false" outlineLevel="0" collapsed="false">
      <c r="A163" s="32" t="n">
        <v>1162</v>
      </c>
      <c r="B163" s="33" t="n">
        <v>46191</v>
      </c>
      <c r="C163" s="34" t="s">
        <v>109</v>
      </c>
      <c r="D163" s="34" t="s">
        <v>104</v>
      </c>
      <c r="E163" s="34" t="s">
        <v>105</v>
      </c>
      <c r="F163" s="34" t="s">
        <v>108</v>
      </c>
      <c r="G163" s="34" t="s">
        <v>102</v>
      </c>
      <c r="H163" s="32" t="n">
        <v>7</v>
      </c>
      <c r="I163" s="35" t="n">
        <v>99.9</v>
      </c>
      <c r="J163" s="35" t="n">
        <v>52</v>
      </c>
      <c r="K163" s="35" t="n">
        <f aca="false">H163*I163</f>
        <v>699.3</v>
      </c>
      <c r="L163" s="35" t="n">
        <f aca="false">H163*J163</f>
        <v>364</v>
      </c>
      <c r="M163" s="35" t="n">
        <f aca="false">K163-L163</f>
        <v>335.3</v>
      </c>
      <c r="N163" s="32" t="n">
        <f aca="false">MONTH(B163)</f>
        <v>6</v>
      </c>
    </row>
    <row r="164" customFormat="false" ht="15" hidden="false" customHeight="false" outlineLevel="0" collapsed="false">
      <c r="A164" s="28" t="n">
        <v>1163</v>
      </c>
      <c r="B164" s="29" t="n">
        <v>46035</v>
      </c>
      <c r="C164" s="30" t="s">
        <v>124</v>
      </c>
      <c r="D164" s="30" t="s">
        <v>110</v>
      </c>
      <c r="E164" s="30" t="s">
        <v>119</v>
      </c>
      <c r="F164" s="30" t="s">
        <v>101</v>
      </c>
      <c r="G164" s="30" t="s">
        <v>102</v>
      </c>
      <c r="H164" s="28" t="n">
        <v>7</v>
      </c>
      <c r="I164" s="31" t="n">
        <v>119.9</v>
      </c>
      <c r="J164" s="31" t="n">
        <v>55</v>
      </c>
      <c r="K164" s="31" t="n">
        <f aca="false">H164*I164</f>
        <v>839.3</v>
      </c>
      <c r="L164" s="31" t="n">
        <f aca="false">H164*J164</f>
        <v>385</v>
      </c>
      <c r="M164" s="31" t="n">
        <f aca="false">K164-L164</f>
        <v>454.3</v>
      </c>
      <c r="N164" s="28" t="n">
        <f aca="false">MONTH(B164)</f>
        <v>1</v>
      </c>
    </row>
    <row r="165" customFormat="false" ht="15" hidden="false" customHeight="false" outlineLevel="0" collapsed="false">
      <c r="A165" s="32" t="n">
        <v>1164</v>
      </c>
      <c r="B165" s="33" t="n">
        <v>46113</v>
      </c>
      <c r="C165" s="34" t="s">
        <v>98</v>
      </c>
      <c r="D165" s="34" t="s">
        <v>121</v>
      </c>
      <c r="E165" s="34" t="s">
        <v>122</v>
      </c>
      <c r="F165" s="34" t="s">
        <v>108</v>
      </c>
      <c r="G165" s="34" t="s">
        <v>102</v>
      </c>
      <c r="H165" s="32" t="n">
        <v>3</v>
      </c>
      <c r="I165" s="35" t="n">
        <v>199.9</v>
      </c>
      <c r="J165" s="35" t="n">
        <v>118</v>
      </c>
      <c r="K165" s="35" t="n">
        <f aca="false">H165*I165</f>
        <v>599.7</v>
      </c>
      <c r="L165" s="35" t="n">
        <f aca="false">H165*J165</f>
        <v>354</v>
      </c>
      <c r="M165" s="35" t="n">
        <f aca="false">K165-L165</f>
        <v>245.7</v>
      </c>
      <c r="N165" s="32" t="n">
        <f aca="false">MONTH(B165)</f>
        <v>4</v>
      </c>
    </row>
    <row r="166" customFormat="false" ht="15" hidden="false" customHeight="false" outlineLevel="0" collapsed="false">
      <c r="A166" s="28" t="n">
        <v>1165</v>
      </c>
      <c r="B166" s="29" t="n">
        <v>46191</v>
      </c>
      <c r="C166" s="30" t="s">
        <v>103</v>
      </c>
      <c r="D166" s="30" t="s">
        <v>121</v>
      </c>
      <c r="E166" s="30" t="s">
        <v>122</v>
      </c>
      <c r="F166" s="30" t="s">
        <v>108</v>
      </c>
      <c r="G166" s="30" t="s">
        <v>102</v>
      </c>
      <c r="H166" s="28" t="n">
        <v>1</v>
      </c>
      <c r="I166" s="31" t="n">
        <v>199.9</v>
      </c>
      <c r="J166" s="31" t="n">
        <v>118</v>
      </c>
      <c r="K166" s="31" t="n">
        <f aca="false">H166*I166</f>
        <v>199.9</v>
      </c>
      <c r="L166" s="31" t="n">
        <f aca="false">H166*J166</f>
        <v>118</v>
      </c>
      <c r="M166" s="31" t="n">
        <f aca="false">K166-L166</f>
        <v>81.9</v>
      </c>
      <c r="N166" s="28" t="n">
        <f aca="false">MONTH(B166)</f>
        <v>6</v>
      </c>
    </row>
    <row r="167" customFormat="false" ht="15" hidden="false" customHeight="false" outlineLevel="0" collapsed="false">
      <c r="A167" s="32" t="n">
        <v>1166</v>
      </c>
      <c r="B167" s="33" t="n">
        <v>46102</v>
      </c>
      <c r="C167" s="34" t="s">
        <v>103</v>
      </c>
      <c r="D167" s="34" t="s">
        <v>104</v>
      </c>
      <c r="E167" s="34" t="s">
        <v>105</v>
      </c>
      <c r="F167" s="34" t="s">
        <v>108</v>
      </c>
      <c r="G167" s="34" t="s">
        <v>107</v>
      </c>
      <c r="H167" s="32" t="n">
        <v>3</v>
      </c>
      <c r="I167" s="35" t="n">
        <v>99.9</v>
      </c>
      <c r="J167" s="35" t="n">
        <v>52</v>
      </c>
      <c r="K167" s="35" t="n">
        <f aca="false">H167*I167</f>
        <v>299.7</v>
      </c>
      <c r="L167" s="35" t="n">
        <f aca="false">H167*J167</f>
        <v>156</v>
      </c>
      <c r="M167" s="35" t="n">
        <f aca="false">K167-L167</f>
        <v>143.7</v>
      </c>
      <c r="N167" s="32" t="n">
        <f aca="false">MONTH(B167)</f>
        <v>3</v>
      </c>
    </row>
    <row r="168" customFormat="false" ht="15" hidden="false" customHeight="false" outlineLevel="0" collapsed="false">
      <c r="A168" s="28" t="n">
        <v>1167</v>
      </c>
      <c r="B168" s="29" t="n">
        <v>46098</v>
      </c>
      <c r="C168" s="30" t="s">
        <v>109</v>
      </c>
      <c r="D168" s="30" t="s">
        <v>110</v>
      </c>
      <c r="E168" s="30" t="s">
        <v>114</v>
      </c>
      <c r="F168" s="30" t="s">
        <v>101</v>
      </c>
      <c r="G168" s="30" t="s">
        <v>102</v>
      </c>
      <c r="H168" s="28" t="n">
        <v>2</v>
      </c>
      <c r="I168" s="31" t="n">
        <v>39.9</v>
      </c>
      <c r="J168" s="31" t="n">
        <v>14</v>
      </c>
      <c r="K168" s="31" t="n">
        <f aca="false">H168*I168</f>
        <v>79.8</v>
      </c>
      <c r="L168" s="31" t="n">
        <f aca="false">H168*J168</f>
        <v>28</v>
      </c>
      <c r="M168" s="31" t="n">
        <f aca="false">K168-L168</f>
        <v>51.8</v>
      </c>
      <c r="N168" s="28" t="n">
        <f aca="false">MONTH(B168)</f>
        <v>3</v>
      </c>
    </row>
    <row r="169" customFormat="false" ht="15" hidden="false" customHeight="false" outlineLevel="0" collapsed="false">
      <c r="A169" s="32" t="n">
        <v>1168</v>
      </c>
      <c r="B169" s="33" t="n">
        <v>46116</v>
      </c>
      <c r="C169" s="34" t="s">
        <v>109</v>
      </c>
      <c r="D169" s="34" t="s">
        <v>99</v>
      </c>
      <c r="E169" s="34" t="s">
        <v>100</v>
      </c>
      <c r="F169" s="34" t="s">
        <v>123</v>
      </c>
      <c r="G169" s="34" t="s">
        <v>113</v>
      </c>
      <c r="H169" s="32" t="n">
        <v>3</v>
      </c>
      <c r="I169" s="35" t="n">
        <v>89.9</v>
      </c>
      <c r="J169" s="35" t="n">
        <v>41</v>
      </c>
      <c r="K169" s="35" t="n">
        <f aca="false">H169*I169</f>
        <v>269.7</v>
      </c>
      <c r="L169" s="35" t="n">
        <f aca="false">H169*J169</f>
        <v>123</v>
      </c>
      <c r="M169" s="35" t="n">
        <f aca="false">K169-L169</f>
        <v>146.7</v>
      </c>
      <c r="N169" s="32" t="n">
        <f aca="false">MONTH(B169)</f>
        <v>4</v>
      </c>
    </row>
    <row r="170" customFormat="false" ht="15" hidden="false" customHeight="false" outlineLevel="0" collapsed="false">
      <c r="A170" s="28" t="n">
        <v>1169</v>
      </c>
      <c r="B170" s="29" t="n">
        <v>46098</v>
      </c>
      <c r="C170" s="30" t="s">
        <v>103</v>
      </c>
      <c r="D170" s="30" t="s">
        <v>99</v>
      </c>
      <c r="E170" s="30" t="s">
        <v>100</v>
      </c>
      <c r="F170" s="30" t="s">
        <v>106</v>
      </c>
      <c r="G170" s="30" t="s">
        <v>107</v>
      </c>
      <c r="H170" s="28" t="n">
        <v>4</v>
      </c>
      <c r="I170" s="31" t="n">
        <v>89.9</v>
      </c>
      <c r="J170" s="31" t="n">
        <v>41</v>
      </c>
      <c r="K170" s="31" t="n">
        <f aca="false">H170*I170</f>
        <v>359.6</v>
      </c>
      <c r="L170" s="31" t="n">
        <f aca="false">H170*J170</f>
        <v>164</v>
      </c>
      <c r="M170" s="31" t="n">
        <f aca="false">K170-L170</f>
        <v>195.6</v>
      </c>
      <c r="N170" s="28" t="n">
        <f aca="false">MONTH(B170)</f>
        <v>3</v>
      </c>
    </row>
    <row r="171" customFormat="false" ht="15" hidden="false" customHeight="false" outlineLevel="0" collapsed="false">
      <c r="A171" s="32" t="n">
        <v>1170</v>
      </c>
      <c r="B171" s="33" t="n">
        <v>46080</v>
      </c>
      <c r="C171" s="34" t="s">
        <v>124</v>
      </c>
      <c r="D171" s="34" t="s">
        <v>110</v>
      </c>
      <c r="E171" s="34" t="s">
        <v>111</v>
      </c>
      <c r="F171" s="34" t="s">
        <v>106</v>
      </c>
      <c r="G171" s="34" t="s">
        <v>102</v>
      </c>
      <c r="H171" s="32" t="n">
        <v>3</v>
      </c>
      <c r="I171" s="35" t="n">
        <v>129.9</v>
      </c>
      <c r="J171" s="35" t="n">
        <v>61</v>
      </c>
      <c r="K171" s="35" t="n">
        <f aca="false">H171*I171</f>
        <v>389.7</v>
      </c>
      <c r="L171" s="35" t="n">
        <f aca="false">H171*J171</f>
        <v>183</v>
      </c>
      <c r="M171" s="35" t="n">
        <f aca="false">K171-L171</f>
        <v>206.7</v>
      </c>
      <c r="N171" s="32" t="n">
        <f aca="false">MONTH(B171)</f>
        <v>2</v>
      </c>
    </row>
    <row r="172" customFormat="false" ht="15" hidden="false" customHeight="false" outlineLevel="0" collapsed="false">
      <c r="A172" s="28" t="n">
        <v>1171</v>
      </c>
      <c r="B172" s="29" t="n">
        <v>46026</v>
      </c>
      <c r="C172" s="30" t="s">
        <v>98</v>
      </c>
      <c r="D172" s="30" t="s">
        <v>104</v>
      </c>
      <c r="E172" s="30" t="s">
        <v>116</v>
      </c>
      <c r="F172" s="30" t="s">
        <v>108</v>
      </c>
      <c r="G172" s="30" t="s">
        <v>102</v>
      </c>
      <c r="H172" s="28" t="n">
        <v>3</v>
      </c>
      <c r="I172" s="31" t="n">
        <v>249.9</v>
      </c>
      <c r="J172" s="31" t="n">
        <v>155</v>
      </c>
      <c r="K172" s="31" t="n">
        <f aca="false">H172*I172</f>
        <v>749.7</v>
      </c>
      <c r="L172" s="31" t="n">
        <f aca="false">H172*J172</f>
        <v>465</v>
      </c>
      <c r="M172" s="31" t="n">
        <f aca="false">K172-L172</f>
        <v>284.7</v>
      </c>
      <c r="N172" s="28" t="n">
        <f aca="false">MONTH(B172)</f>
        <v>1</v>
      </c>
    </row>
    <row r="173" customFormat="false" ht="15" hidden="false" customHeight="false" outlineLevel="0" collapsed="false">
      <c r="A173" s="32" t="n">
        <v>1172</v>
      </c>
      <c r="B173" s="33" t="n">
        <v>46090</v>
      </c>
      <c r="C173" s="34" t="s">
        <v>109</v>
      </c>
      <c r="D173" s="34" t="s">
        <v>99</v>
      </c>
      <c r="E173" s="34" t="s">
        <v>100</v>
      </c>
      <c r="F173" s="34" t="s">
        <v>101</v>
      </c>
      <c r="G173" s="34" t="s">
        <v>102</v>
      </c>
      <c r="H173" s="32" t="n">
        <v>6</v>
      </c>
      <c r="I173" s="35" t="n">
        <v>89.9</v>
      </c>
      <c r="J173" s="35" t="n">
        <v>41</v>
      </c>
      <c r="K173" s="35" t="n">
        <f aca="false">H173*I173</f>
        <v>539.4</v>
      </c>
      <c r="L173" s="35" t="n">
        <f aca="false">H173*J173</f>
        <v>246</v>
      </c>
      <c r="M173" s="35" t="n">
        <f aca="false">K173-L173</f>
        <v>293.4</v>
      </c>
      <c r="N173" s="32" t="n">
        <f aca="false">MONTH(B173)</f>
        <v>3</v>
      </c>
    </row>
    <row r="174" customFormat="false" ht="15" hidden="false" customHeight="false" outlineLevel="0" collapsed="false">
      <c r="A174" s="28" t="n">
        <v>1173</v>
      </c>
      <c r="B174" s="29" t="n">
        <v>46181</v>
      </c>
      <c r="C174" s="30" t="s">
        <v>124</v>
      </c>
      <c r="D174" s="30" t="s">
        <v>99</v>
      </c>
      <c r="E174" s="30" t="s">
        <v>118</v>
      </c>
      <c r="F174" s="30" t="s">
        <v>108</v>
      </c>
      <c r="G174" s="30" t="s">
        <v>107</v>
      </c>
      <c r="H174" s="28" t="n">
        <v>2</v>
      </c>
      <c r="I174" s="31" t="n">
        <v>159.9</v>
      </c>
      <c r="J174" s="31" t="n">
        <v>86</v>
      </c>
      <c r="K174" s="31" t="n">
        <f aca="false">H174*I174</f>
        <v>319.8</v>
      </c>
      <c r="L174" s="31" t="n">
        <f aca="false">H174*J174</f>
        <v>172</v>
      </c>
      <c r="M174" s="31" t="n">
        <f aca="false">K174-L174</f>
        <v>147.8</v>
      </c>
      <c r="N174" s="28" t="n">
        <f aca="false">MONTH(B174)</f>
        <v>6</v>
      </c>
    </row>
    <row r="175" customFormat="false" ht="15" hidden="false" customHeight="false" outlineLevel="0" collapsed="false">
      <c r="A175" s="32" t="n">
        <v>1174</v>
      </c>
      <c r="B175" s="33" t="n">
        <v>46141</v>
      </c>
      <c r="C175" s="34" t="s">
        <v>124</v>
      </c>
      <c r="D175" s="34" t="s">
        <v>99</v>
      </c>
      <c r="E175" s="34" t="s">
        <v>118</v>
      </c>
      <c r="F175" s="34" t="s">
        <v>106</v>
      </c>
      <c r="G175" s="34" t="s">
        <v>107</v>
      </c>
      <c r="H175" s="32" t="n">
        <v>4</v>
      </c>
      <c r="I175" s="35" t="n">
        <v>159.9</v>
      </c>
      <c r="J175" s="35" t="n">
        <v>86</v>
      </c>
      <c r="K175" s="35" t="n">
        <f aca="false">H175*I175</f>
        <v>639.6</v>
      </c>
      <c r="L175" s="35" t="n">
        <f aca="false">H175*J175</f>
        <v>344</v>
      </c>
      <c r="M175" s="35" t="n">
        <f aca="false">K175-L175</f>
        <v>295.6</v>
      </c>
      <c r="N175" s="32" t="n">
        <f aca="false">MONTH(B175)</f>
        <v>4</v>
      </c>
    </row>
    <row r="176" customFormat="false" ht="15" hidden="false" customHeight="false" outlineLevel="0" collapsed="false">
      <c r="A176" s="28" t="n">
        <v>1175</v>
      </c>
      <c r="B176" s="29" t="n">
        <v>46032</v>
      </c>
      <c r="C176" s="30" t="s">
        <v>109</v>
      </c>
      <c r="D176" s="30" t="s">
        <v>110</v>
      </c>
      <c r="E176" s="30" t="s">
        <v>114</v>
      </c>
      <c r="F176" s="30" t="s">
        <v>101</v>
      </c>
      <c r="G176" s="30" t="s">
        <v>113</v>
      </c>
      <c r="H176" s="28" t="n">
        <v>1</v>
      </c>
      <c r="I176" s="31" t="n">
        <v>39.9</v>
      </c>
      <c r="J176" s="31" t="n">
        <v>14</v>
      </c>
      <c r="K176" s="31" t="n">
        <f aca="false">H176*I176</f>
        <v>39.9</v>
      </c>
      <c r="L176" s="31" t="n">
        <f aca="false">H176*J176</f>
        <v>14</v>
      </c>
      <c r="M176" s="31" t="n">
        <f aca="false">K176-L176</f>
        <v>25.9</v>
      </c>
      <c r="N176" s="28" t="n">
        <f aca="false">MONTH(B176)</f>
        <v>1</v>
      </c>
    </row>
    <row r="177" customFormat="false" ht="15" hidden="false" customHeight="false" outlineLevel="0" collapsed="false">
      <c r="A177" s="32" t="n">
        <v>1176</v>
      </c>
      <c r="B177" s="33" t="n">
        <v>46057</v>
      </c>
      <c r="C177" s="34" t="s">
        <v>109</v>
      </c>
      <c r="D177" s="34" t="s">
        <v>99</v>
      </c>
      <c r="E177" s="34" t="s">
        <v>118</v>
      </c>
      <c r="F177" s="34" t="s">
        <v>108</v>
      </c>
      <c r="G177" s="34" t="s">
        <v>113</v>
      </c>
      <c r="H177" s="32" t="n">
        <v>6</v>
      </c>
      <c r="I177" s="35" t="n">
        <v>159.9</v>
      </c>
      <c r="J177" s="35" t="n">
        <v>86</v>
      </c>
      <c r="K177" s="35" t="n">
        <f aca="false">H177*I177</f>
        <v>959.4</v>
      </c>
      <c r="L177" s="35" t="n">
        <f aca="false">H177*J177</f>
        <v>516</v>
      </c>
      <c r="M177" s="35" t="n">
        <f aca="false">K177-L177</f>
        <v>443.4</v>
      </c>
      <c r="N177" s="32" t="n">
        <f aca="false">MONTH(B177)</f>
        <v>2</v>
      </c>
    </row>
    <row r="178" customFormat="false" ht="15" hidden="false" customHeight="false" outlineLevel="0" collapsed="false">
      <c r="A178" s="28" t="n">
        <v>1177</v>
      </c>
      <c r="B178" s="29" t="n">
        <v>46130</v>
      </c>
      <c r="C178" s="30" t="s">
        <v>109</v>
      </c>
      <c r="D178" s="30" t="s">
        <v>121</v>
      </c>
      <c r="E178" s="30" t="s">
        <v>125</v>
      </c>
      <c r="F178" s="30" t="s">
        <v>106</v>
      </c>
      <c r="G178" s="30" t="s">
        <v>113</v>
      </c>
      <c r="H178" s="28" t="n">
        <v>6</v>
      </c>
      <c r="I178" s="31" t="n">
        <v>49.9</v>
      </c>
      <c r="J178" s="31" t="n">
        <v>23</v>
      </c>
      <c r="K178" s="31" t="n">
        <f aca="false">H178*I178</f>
        <v>299.4</v>
      </c>
      <c r="L178" s="31" t="n">
        <f aca="false">H178*J178</f>
        <v>138</v>
      </c>
      <c r="M178" s="31" t="n">
        <f aca="false">K178-L178</f>
        <v>161.4</v>
      </c>
      <c r="N178" s="28" t="n">
        <f aca="false">MONTH(B178)</f>
        <v>4</v>
      </c>
    </row>
    <row r="179" customFormat="false" ht="15" hidden="false" customHeight="false" outlineLevel="0" collapsed="false">
      <c r="A179" s="32" t="n">
        <v>1178</v>
      </c>
      <c r="B179" s="33" t="n">
        <v>46180</v>
      </c>
      <c r="C179" s="34" t="s">
        <v>109</v>
      </c>
      <c r="D179" s="34" t="s">
        <v>99</v>
      </c>
      <c r="E179" s="34" t="s">
        <v>100</v>
      </c>
      <c r="F179" s="34" t="s">
        <v>115</v>
      </c>
      <c r="G179" s="34" t="s">
        <v>107</v>
      </c>
      <c r="H179" s="32" t="n">
        <v>6</v>
      </c>
      <c r="I179" s="35" t="n">
        <v>89.9</v>
      </c>
      <c r="J179" s="35" t="n">
        <v>41</v>
      </c>
      <c r="K179" s="35" t="n">
        <f aca="false">H179*I179</f>
        <v>539.4</v>
      </c>
      <c r="L179" s="35" t="n">
        <f aca="false">H179*J179</f>
        <v>246</v>
      </c>
      <c r="M179" s="35" t="n">
        <f aca="false">K179-L179</f>
        <v>293.4</v>
      </c>
      <c r="N179" s="32" t="n">
        <f aca="false">MONTH(B179)</f>
        <v>6</v>
      </c>
    </row>
    <row r="180" customFormat="false" ht="15" hidden="false" customHeight="false" outlineLevel="0" collapsed="false">
      <c r="A180" s="28" t="n">
        <v>1179</v>
      </c>
      <c r="B180" s="29" t="n">
        <v>46136</v>
      </c>
      <c r="C180" s="30" t="s">
        <v>124</v>
      </c>
      <c r="D180" s="30" t="s">
        <v>99</v>
      </c>
      <c r="E180" s="30" t="s">
        <v>100</v>
      </c>
      <c r="F180" s="30" t="s">
        <v>115</v>
      </c>
      <c r="G180" s="30" t="s">
        <v>102</v>
      </c>
      <c r="H180" s="28" t="n">
        <v>6</v>
      </c>
      <c r="I180" s="31" t="n">
        <v>89.9</v>
      </c>
      <c r="J180" s="31" t="n">
        <v>41</v>
      </c>
      <c r="K180" s="31" t="n">
        <f aca="false">H180*I180</f>
        <v>539.4</v>
      </c>
      <c r="L180" s="31" t="n">
        <f aca="false">H180*J180</f>
        <v>246</v>
      </c>
      <c r="M180" s="31" t="n">
        <f aca="false">K180-L180</f>
        <v>293.4</v>
      </c>
      <c r="N180" s="28" t="n">
        <f aca="false">MONTH(B180)</f>
        <v>4</v>
      </c>
    </row>
    <row r="181" customFormat="false" ht="15" hidden="false" customHeight="false" outlineLevel="0" collapsed="false">
      <c r="A181" s="32" t="n">
        <v>1180</v>
      </c>
      <c r="B181" s="33" t="n">
        <v>46188</v>
      </c>
      <c r="C181" s="34" t="s">
        <v>109</v>
      </c>
      <c r="D181" s="34" t="s">
        <v>110</v>
      </c>
      <c r="E181" s="34" t="s">
        <v>119</v>
      </c>
      <c r="F181" s="34" t="s">
        <v>106</v>
      </c>
      <c r="G181" s="34" t="s">
        <v>113</v>
      </c>
      <c r="H181" s="32" t="n">
        <v>2</v>
      </c>
      <c r="I181" s="35" t="n">
        <v>119.9</v>
      </c>
      <c r="J181" s="35" t="n">
        <v>55</v>
      </c>
      <c r="K181" s="35" t="n">
        <f aca="false">H181*I181</f>
        <v>239.8</v>
      </c>
      <c r="L181" s="35" t="n">
        <f aca="false">H181*J181</f>
        <v>110</v>
      </c>
      <c r="M181" s="35" t="n">
        <f aca="false">K181-L181</f>
        <v>129.8</v>
      </c>
      <c r="N181" s="32" t="n">
        <f aca="false">MONTH(B181)</f>
        <v>6</v>
      </c>
    </row>
    <row r="182" customFormat="false" ht="15" hidden="false" customHeight="false" outlineLevel="0" collapsed="false">
      <c r="A182" s="28" t="n">
        <v>1181</v>
      </c>
      <c r="B182" s="29" t="n">
        <v>46139</v>
      </c>
      <c r="C182" s="30" t="s">
        <v>98</v>
      </c>
      <c r="D182" s="30" t="s">
        <v>121</v>
      </c>
      <c r="E182" s="30" t="s">
        <v>122</v>
      </c>
      <c r="F182" s="30" t="s">
        <v>117</v>
      </c>
      <c r="G182" s="30" t="s">
        <v>113</v>
      </c>
      <c r="H182" s="28" t="n">
        <v>6</v>
      </c>
      <c r="I182" s="31" t="n">
        <v>199.9</v>
      </c>
      <c r="J182" s="31" t="n">
        <v>118</v>
      </c>
      <c r="K182" s="31" t="n">
        <f aca="false">H182*I182</f>
        <v>1199.4</v>
      </c>
      <c r="L182" s="31" t="n">
        <f aca="false">H182*J182</f>
        <v>708</v>
      </c>
      <c r="M182" s="31" t="n">
        <f aca="false">K182-L182</f>
        <v>491.4</v>
      </c>
      <c r="N182" s="28" t="n">
        <f aca="false">MONTH(B182)</f>
        <v>4</v>
      </c>
    </row>
    <row r="183" customFormat="false" ht="15" hidden="false" customHeight="false" outlineLevel="0" collapsed="false">
      <c r="A183" s="32" t="n">
        <v>1182</v>
      </c>
      <c r="B183" s="33" t="n">
        <v>46035</v>
      </c>
      <c r="C183" s="34" t="s">
        <v>103</v>
      </c>
      <c r="D183" s="34" t="s">
        <v>121</v>
      </c>
      <c r="E183" s="34" t="s">
        <v>126</v>
      </c>
      <c r="F183" s="34" t="s">
        <v>117</v>
      </c>
      <c r="G183" s="34" t="s">
        <v>107</v>
      </c>
      <c r="H183" s="32" t="n">
        <v>7</v>
      </c>
      <c r="I183" s="35" t="n">
        <v>79.9</v>
      </c>
      <c r="J183" s="35" t="n">
        <v>39</v>
      </c>
      <c r="K183" s="35" t="n">
        <f aca="false">H183*I183</f>
        <v>559.3</v>
      </c>
      <c r="L183" s="35" t="n">
        <f aca="false">H183*J183</f>
        <v>273</v>
      </c>
      <c r="M183" s="35" t="n">
        <f aca="false">K183-L183</f>
        <v>286.3</v>
      </c>
      <c r="N183" s="32" t="n">
        <f aca="false">MONTH(B183)</f>
        <v>1</v>
      </c>
    </row>
    <row r="184" customFormat="false" ht="15" hidden="false" customHeight="false" outlineLevel="0" collapsed="false">
      <c r="A184" s="28" t="n">
        <v>1183</v>
      </c>
      <c r="B184" s="29" t="n">
        <v>46164</v>
      </c>
      <c r="C184" s="30" t="s">
        <v>98</v>
      </c>
      <c r="D184" s="30" t="s">
        <v>121</v>
      </c>
      <c r="E184" s="30" t="s">
        <v>126</v>
      </c>
      <c r="F184" s="30" t="s">
        <v>101</v>
      </c>
      <c r="G184" s="30" t="s">
        <v>102</v>
      </c>
      <c r="H184" s="28" t="n">
        <v>3</v>
      </c>
      <c r="I184" s="31" t="n">
        <v>79.9</v>
      </c>
      <c r="J184" s="31" t="n">
        <v>39</v>
      </c>
      <c r="K184" s="31" t="n">
        <f aca="false">H184*I184</f>
        <v>239.7</v>
      </c>
      <c r="L184" s="31" t="n">
        <f aca="false">H184*J184</f>
        <v>117</v>
      </c>
      <c r="M184" s="31" t="n">
        <f aca="false">K184-L184</f>
        <v>122.7</v>
      </c>
      <c r="N184" s="28" t="n">
        <f aca="false">MONTH(B184)</f>
        <v>5</v>
      </c>
    </row>
    <row r="185" customFormat="false" ht="15" hidden="false" customHeight="false" outlineLevel="0" collapsed="false">
      <c r="A185" s="32" t="n">
        <v>1184</v>
      </c>
      <c r="B185" s="33" t="n">
        <v>46175</v>
      </c>
      <c r="C185" s="34" t="s">
        <v>98</v>
      </c>
      <c r="D185" s="34" t="s">
        <v>121</v>
      </c>
      <c r="E185" s="34" t="s">
        <v>126</v>
      </c>
      <c r="F185" s="34" t="s">
        <v>115</v>
      </c>
      <c r="G185" s="34" t="s">
        <v>102</v>
      </c>
      <c r="H185" s="32" t="n">
        <v>5</v>
      </c>
      <c r="I185" s="35" t="n">
        <v>79.9</v>
      </c>
      <c r="J185" s="35" t="n">
        <v>39</v>
      </c>
      <c r="K185" s="35" t="n">
        <f aca="false">H185*I185</f>
        <v>399.5</v>
      </c>
      <c r="L185" s="35" t="n">
        <f aca="false">H185*J185</f>
        <v>195</v>
      </c>
      <c r="M185" s="35" t="n">
        <f aca="false">K185-L185</f>
        <v>204.5</v>
      </c>
      <c r="N185" s="32" t="n">
        <f aca="false">MONTH(B185)</f>
        <v>6</v>
      </c>
    </row>
    <row r="186" customFormat="false" ht="15" hidden="false" customHeight="false" outlineLevel="0" collapsed="false">
      <c r="A186" s="28" t="n">
        <v>1185</v>
      </c>
      <c r="B186" s="29" t="n">
        <v>46051</v>
      </c>
      <c r="C186" s="30" t="s">
        <v>103</v>
      </c>
      <c r="D186" s="30" t="s">
        <v>104</v>
      </c>
      <c r="E186" s="30" t="s">
        <v>120</v>
      </c>
      <c r="F186" s="30" t="s">
        <v>115</v>
      </c>
      <c r="G186" s="30" t="s">
        <v>102</v>
      </c>
      <c r="H186" s="28" t="n">
        <v>1</v>
      </c>
      <c r="I186" s="31" t="n">
        <v>149.9</v>
      </c>
      <c r="J186" s="31" t="n">
        <v>88</v>
      </c>
      <c r="K186" s="31" t="n">
        <f aca="false">H186*I186</f>
        <v>149.9</v>
      </c>
      <c r="L186" s="31" t="n">
        <f aca="false">H186*J186</f>
        <v>88</v>
      </c>
      <c r="M186" s="31" t="n">
        <f aca="false">K186-L186</f>
        <v>61.9</v>
      </c>
      <c r="N186" s="28" t="n">
        <f aca="false">MONTH(B186)</f>
        <v>1</v>
      </c>
    </row>
    <row r="187" customFormat="false" ht="15" hidden="false" customHeight="false" outlineLevel="0" collapsed="false">
      <c r="A187" s="32" t="n">
        <v>1186</v>
      </c>
      <c r="B187" s="33" t="n">
        <v>46083</v>
      </c>
      <c r="C187" s="34" t="s">
        <v>109</v>
      </c>
      <c r="D187" s="34" t="s">
        <v>104</v>
      </c>
      <c r="E187" s="34" t="s">
        <v>120</v>
      </c>
      <c r="F187" s="34" t="s">
        <v>106</v>
      </c>
      <c r="G187" s="34" t="s">
        <v>107</v>
      </c>
      <c r="H187" s="32" t="n">
        <v>3</v>
      </c>
      <c r="I187" s="35" t="n">
        <v>149.9</v>
      </c>
      <c r="J187" s="35" t="n">
        <v>88</v>
      </c>
      <c r="K187" s="35" t="n">
        <f aca="false">H187*I187</f>
        <v>449.7</v>
      </c>
      <c r="L187" s="35" t="n">
        <f aca="false">H187*J187</f>
        <v>264</v>
      </c>
      <c r="M187" s="35" t="n">
        <f aca="false">K187-L187</f>
        <v>185.7</v>
      </c>
      <c r="N187" s="32" t="n">
        <f aca="false">MONTH(B187)</f>
        <v>3</v>
      </c>
    </row>
    <row r="188" customFormat="false" ht="15" hidden="false" customHeight="false" outlineLevel="0" collapsed="false">
      <c r="A188" s="28" t="n">
        <v>1187</v>
      </c>
      <c r="B188" s="29" t="n">
        <v>46130</v>
      </c>
      <c r="C188" s="30" t="s">
        <v>109</v>
      </c>
      <c r="D188" s="30" t="s">
        <v>104</v>
      </c>
      <c r="E188" s="30" t="s">
        <v>116</v>
      </c>
      <c r="F188" s="30" t="s">
        <v>115</v>
      </c>
      <c r="G188" s="30" t="s">
        <v>102</v>
      </c>
      <c r="H188" s="28" t="n">
        <v>4</v>
      </c>
      <c r="I188" s="31" t="n">
        <v>249.9</v>
      </c>
      <c r="J188" s="31" t="n">
        <v>155</v>
      </c>
      <c r="K188" s="31" t="n">
        <f aca="false">H188*I188</f>
        <v>999.6</v>
      </c>
      <c r="L188" s="31" t="n">
        <f aca="false">H188*J188</f>
        <v>620</v>
      </c>
      <c r="M188" s="31" t="n">
        <f aca="false">K188-L188</f>
        <v>379.6</v>
      </c>
      <c r="N188" s="28" t="n">
        <f aca="false">MONTH(B188)</f>
        <v>4</v>
      </c>
    </row>
    <row r="189" customFormat="false" ht="15" hidden="false" customHeight="false" outlineLevel="0" collapsed="false">
      <c r="A189" s="32" t="n">
        <v>1188</v>
      </c>
      <c r="B189" s="33" t="n">
        <v>46050</v>
      </c>
      <c r="C189" s="34" t="s">
        <v>109</v>
      </c>
      <c r="D189" s="34" t="s">
        <v>121</v>
      </c>
      <c r="E189" s="34" t="s">
        <v>122</v>
      </c>
      <c r="F189" s="34" t="s">
        <v>108</v>
      </c>
      <c r="G189" s="34" t="s">
        <v>102</v>
      </c>
      <c r="H189" s="32" t="n">
        <v>1</v>
      </c>
      <c r="I189" s="35" t="n">
        <v>199.9</v>
      </c>
      <c r="J189" s="35" t="n">
        <v>118</v>
      </c>
      <c r="K189" s="35" t="n">
        <f aca="false">H189*I189</f>
        <v>199.9</v>
      </c>
      <c r="L189" s="35" t="n">
        <f aca="false">H189*J189</f>
        <v>118</v>
      </c>
      <c r="M189" s="35" t="n">
        <f aca="false">K189-L189</f>
        <v>81.9</v>
      </c>
      <c r="N189" s="32" t="n">
        <f aca="false">MONTH(B189)</f>
        <v>1</v>
      </c>
    </row>
    <row r="190" customFormat="false" ht="15" hidden="false" customHeight="false" outlineLevel="0" collapsed="false">
      <c r="A190" s="28" t="n">
        <v>1189</v>
      </c>
      <c r="B190" s="29" t="n">
        <v>46191</v>
      </c>
      <c r="C190" s="30" t="s">
        <v>109</v>
      </c>
      <c r="D190" s="30" t="s">
        <v>110</v>
      </c>
      <c r="E190" s="30" t="s">
        <v>111</v>
      </c>
      <c r="F190" s="30" t="s">
        <v>106</v>
      </c>
      <c r="G190" s="30" t="s">
        <v>113</v>
      </c>
      <c r="H190" s="28" t="n">
        <v>1</v>
      </c>
      <c r="I190" s="31" t="n">
        <v>129.9</v>
      </c>
      <c r="J190" s="31" t="n">
        <v>61</v>
      </c>
      <c r="K190" s="31" t="n">
        <f aca="false">H190*I190</f>
        <v>129.9</v>
      </c>
      <c r="L190" s="31" t="n">
        <f aca="false">H190*J190</f>
        <v>61</v>
      </c>
      <c r="M190" s="31" t="n">
        <f aca="false">K190-L190</f>
        <v>68.9</v>
      </c>
      <c r="N190" s="28" t="n">
        <f aca="false">MONTH(B190)</f>
        <v>6</v>
      </c>
    </row>
    <row r="191" customFormat="false" ht="15" hidden="false" customHeight="false" outlineLevel="0" collapsed="false">
      <c r="A191" s="32" t="n">
        <v>1190</v>
      </c>
      <c r="B191" s="33" t="n">
        <v>46125</v>
      </c>
      <c r="C191" s="34" t="s">
        <v>109</v>
      </c>
      <c r="D191" s="34" t="s">
        <v>104</v>
      </c>
      <c r="E191" s="34" t="s">
        <v>116</v>
      </c>
      <c r="F191" s="34" t="s">
        <v>123</v>
      </c>
      <c r="G191" s="34" t="s">
        <v>107</v>
      </c>
      <c r="H191" s="32" t="n">
        <v>6</v>
      </c>
      <c r="I191" s="35" t="n">
        <v>249.9</v>
      </c>
      <c r="J191" s="35" t="n">
        <v>155</v>
      </c>
      <c r="K191" s="35" t="n">
        <f aca="false">H191*I191</f>
        <v>1499.4</v>
      </c>
      <c r="L191" s="35" t="n">
        <f aca="false">H191*J191</f>
        <v>930</v>
      </c>
      <c r="M191" s="35" t="n">
        <f aca="false">K191-L191</f>
        <v>569.4</v>
      </c>
      <c r="N191" s="32" t="n">
        <f aca="false">MONTH(B191)</f>
        <v>4</v>
      </c>
    </row>
    <row r="192" customFormat="false" ht="15" hidden="false" customHeight="false" outlineLevel="0" collapsed="false">
      <c r="A192" s="28" t="n">
        <v>1191</v>
      </c>
      <c r="B192" s="29" t="n">
        <v>46043</v>
      </c>
      <c r="C192" s="30" t="s">
        <v>109</v>
      </c>
      <c r="D192" s="30" t="s">
        <v>121</v>
      </c>
      <c r="E192" s="30" t="s">
        <v>126</v>
      </c>
      <c r="F192" s="30" t="s">
        <v>115</v>
      </c>
      <c r="G192" s="30" t="s">
        <v>102</v>
      </c>
      <c r="H192" s="28" t="n">
        <v>2</v>
      </c>
      <c r="I192" s="31" t="n">
        <v>79.9</v>
      </c>
      <c r="J192" s="31" t="n">
        <v>39</v>
      </c>
      <c r="K192" s="31" t="n">
        <f aca="false">H192*I192</f>
        <v>159.8</v>
      </c>
      <c r="L192" s="31" t="n">
        <f aca="false">H192*J192</f>
        <v>78</v>
      </c>
      <c r="M192" s="31" t="n">
        <f aca="false">K192-L192</f>
        <v>81.8</v>
      </c>
      <c r="N192" s="28" t="n">
        <f aca="false">MONTH(B192)</f>
        <v>1</v>
      </c>
    </row>
    <row r="193" customFormat="false" ht="15" hidden="false" customHeight="false" outlineLevel="0" collapsed="false">
      <c r="A193" s="32" t="n">
        <v>1192</v>
      </c>
      <c r="B193" s="33" t="n">
        <v>46172</v>
      </c>
      <c r="C193" s="34" t="s">
        <v>109</v>
      </c>
      <c r="D193" s="34" t="s">
        <v>99</v>
      </c>
      <c r="E193" s="34" t="s">
        <v>112</v>
      </c>
      <c r="F193" s="34" t="s">
        <v>117</v>
      </c>
      <c r="G193" s="34" t="s">
        <v>107</v>
      </c>
      <c r="H193" s="32" t="n">
        <v>5</v>
      </c>
      <c r="I193" s="35" t="n">
        <v>69.9</v>
      </c>
      <c r="J193" s="35" t="n">
        <v>29</v>
      </c>
      <c r="K193" s="35" t="n">
        <f aca="false">H193*I193</f>
        <v>349.5</v>
      </c>
      <c r="L193" s="35" t="n">
        <f aca="false">H193*J193</f>
        <v>145</v>
      </c>
      <c r="M193" s="35" t="n">
        <f aca="false">K193-L193</f>
        <v>204.5</v>
      </c>
      <c r="N193" s="32" t="n">
        <f aca="false">MONTH(B193)</f>
        <v>5</v>
      </c>
    </row>
    <row r="194" customFormat="false" ht="15" hidden="false" customHeight="false" outlineLevel="0" collapsed="false">
      <c r="A194" s="28" t="n">
        <v>1193</v>
      </c>
      <c r="B194" s="29" t="n">
        <v>46152</v>
      </c>
      <c r="C194" s="30" t="s">
        <v>109</v>
      </c>
      <c r="D194" s="30" t="s">
        <v>104</v>
      </c>
      <c r="E194" s="30" t="s">
        <v>105</v>
      </c>
      <c r="F194" s="30" t="s">
        <v>108</v>
      </c>
      <c r="G194" s="30" t="s">
        <v>102</v>
      </c>
      <c r="H194" s="28" t="n">
        <v>1</v>
      </c>
      <c r="I194" s="31" t="n">
        <v>99.9</v>
      </c>
      <c r="J194" s="31" t="n">
        <v>52</v>
      </c>
      <c r="K194" s="31" t="n">
        <f aca="false">H194*I194</f>
        <v>99.9</v>
      </c>
      <c r="L194" s="31" t="n">
        <f aca="false">H194*J194</f>
        <v>52</v>
      </c>
      <c r="M194" s="31" t="n">
        <f aca="false">K194-L194</f>
        <v>47.9</v>
      </c>
      <c r="N194" s="28" t="n">
        <f aca="false">MONTH(B194)</f>
        <v>5</v>
      </c>
    </row>
    <row r="195" customFormat="false" ht="15" hidden="false" customHeight="false" outlineLevel="0" collapsed="false">
      <c r="A195" s="32" t="n">
        <v>1194</v>
      </c>
      <c r="B195" s="33" t="n">
        <v>46164</v>
      </c>
      <c r="C195" s="34" t="s">
        <v>103</v>
      </c>
      <c r="D195" s="34" t="s">
        <v>121</v>
      </c>
      <c r="E195" s="34" t="s">
        <v>125</v>
      </c>
      <c r="F195" s="34" t="s">
        <v>101</v>
      </c>
      <c r="G195" s="34" t="s">
        <v>107</v>
      </c>
      <c r="H195" s="32" t="n">
        <v>4</v>
      </c>
      <c r="I195" s="35" t="n">
        <v>49.9</v>
      </c>
      <c r="J195" s="35" t="n">
        <v>23</v>
      </c>
      <c r="K195" s="35" t="n">
        <f aca="false">H195*I195</f>
        <v>199.6</v>
      </c>
      <c r="L195" s="35" t="n">
        <f aca="false">H195*J195</f>
        <v>92</v>
      </c>
      <c r="M195" s="35" t="n">
        <f aca="false">K195-L195</f>
        <v>107.6</v>
      </c>
      <c r="N195" s="32" t="n">
        <f aca="false">MONTH(B195)</f>
        <v>5</v>
      </c>
    </row>
    <row r="196" customFormat="false" ht="15" hidden="false" customHeight="false" outlineLevel="0" collapsed="false">
      <c r="A196" s="28" t="n">
        <v>1195</v>
      </c>
      <c r="B196" s="29" t="n">
        <v>46139</v>
      </c>
      <c r="C196" s="30" t="s">
        <v>109</v>
      </c>
      <c r="D196" s="30" t="s">
        <v>104</v>
      </c>
      <c r="E196" s="30" t="s">
        <v>116</v>
      </c>
      <c r="F196" s="30" t="s">
        <v>115</v>
      </c>
      <c r="G196" s="30" t="s">
        <v>102</v>
      </c>
      <c r="H196" s="28" t="n">
        <v>4</v>
      </c>
      <c r="I196" s="31" t="n">
        <v>249.9</v>
      </c>
      <c r="J196" s="31" t="n">
        <v>155</v>
      </c>
      <c r="K196" s="31" t="n">
        <f aca="false">H196*I196</f>
        <v>999.6</v>
      </c>
      <c r="L196" s="31" t="n">
        <f aca="false">H196*J196</f>
        <v>620</v>
      </c>
      <c r="M196" s="31" t="n">
        <f aca="false">K196-L196</f>
        <v>379.6</v>
      </c>
      <c r="N196" s="28" t="n">
        <f aca="false">MONTH(B196)</f>
        <v>4</v>
      </c>
    </row>
    <row r="197" customFormat="false" ht="15" hidden="false" customHeight="false" outlineLevel="0" collapsed="false">
      <c r="A197" s="32" t="n">
        <v>1196</v>
      </c>
      <c r="B197" s="33" t="n">
        <v>46118</v>
      </c>
      <c r="C197" s="34" t="s">
        <v>124</v>
      </c>
      <c r="D197" s="34" t="s">
        <v>110</v>
      </c>
      <c r="E197" s="34" t="s">
        <v>114</v>
      </c>
      <c r="F197" s="34" t="s">
        <v>106</v>
      </c>
      <c r="G197" s="34" t="s">
        <v>107</v>
      </c>
      <c r="H197" s="32" t="n">
        <v>1</v>
      </c>
      <c r="I197" s="35" t="n">
        <v>39.9</v>
      </c>
      <c r="J197" s="35" t="n">
        <v>14</v>
      </c>
      <c r="K197" s="35" t="n">
        <f aca="false">H197*I197</f>
        <v>39.9</v>
      </c>
      <c r="L197" s="35" t="n">
        <f aca="false">H197*J197</f>
        <v>14</v>
      </c>
      <c r="M197" s="35" t="n">
        <f aca="false">K197-L197</f>
        <v>25.9</v>
      </c>
      <c r="N197" s="32" t="n">
        <f aca="false">MONTH(B197)</f>
        <v>4</v>
      </c>
    </row>
    <row r="198" customFormat="false" ht="15" hidden="false" customHeight="false" outlineLevel="0" collapsed="false">
      <c r="A198" s="28" t="n">
        <v>1197</v>
      </c>
      <c r="B198" s="29" t="n">
        <v>46047</v>
      </c>
      <c r="C198" s="30" t="s">
        <v>103</v>
      </c>
      <c r="D198" s="30" t="s">
        <v>99</v>
      </c>
      <c r="E198" s="30" t="s">
        <v>100</v>
      </c>
      <c r="F198" s="30" t="s">
        <v>106</v>
      </c>
      <c r="G198" s="30" t="s">
        <v>102</v>
      </c>
      <c r="H198" s="28" t="n">
        <v>5</v>
      </c>
      <c r="I198" s="31" t="n">
        <v>89.9</v>
      </c>
      <c r="J198" s="31" t="n">
        <v>41</v>
      </c>
      <c r="K198" s="31" t="n">
        <f aca="false">H198*I198</f>
        <v>449.5</v>
      </c>
      <c r="L198" s="31" t="n">
        <f aca="false">H198*J198</f>
        <v>205</v>
      </c>
      <c r="M198" s="31" t="n">
        <f aca="false">K198-L198</f>
        <v>244.5</v>
      </c>
      <c r="N198" s="28" t="n">
        <f aca="false">MONTH(B198)</f>
        <v>1</v>
      </c>
    </row>
    <row r="199" customFormat="false" ht="15" hidden="false" customHeight="false" outlineLevel="0" collapsed="false">
      <c r="A199" s="32" t="n">
        <v>1198</v>
      </c>
      <c r="B199" s="33" t="n">
        <v>46166</v>
      </c>
      <c r="C199" s="34" t="s">
        <v>109</v>
      </c>
      <c r="D199" s="34" t="s">
        <v>104</v>
      </c>
      <c r="E199" s="34" t="s">
        <v>116</v>
      </c>
      <c r="F199" s="34" t="s">
        <v>108</v>
      </c>
      <c r="G199" s="34" t="s">
        <v>113</v>
      </c>
      <c r="H199" s="32" t="n">
        <v>3</v>
      </c>
      <c r="I199" s="35" t="n">
        <v>249.9</v>
      </c>
      <c r="J199" s="35" t="n">
        <v>155</v>
      </c>
      <c r="K199" s="35" t="n">
        <f aca="false">H199*I199</f>
        <v>749.7</v>
      </c>
      <c r="L199" s="35" t="n">
        <f aca="false">H199*J199</f>
        <v>465</v>
      </c>
      <c r="M199" s="35" t="n">
        <f aca="false">K199-L199</f>
        <v>284.7</v>
      </c>
      <c r="N199" s="32" t="n">
        <f aca="false">MONTH(B199)</f>
        <v>5</v>
      </c>
    </row>
    <row r="200" customFormat="false" ht="15" hidden="false" customHeight="false" outlineLevel="0" collapsed="false">
      <c r="A200" s="28" t="n">
        <v>1199</v>
      </c>
      <c r="B200" s="29" t="n">
        <v>46131</v>
      </c>
      <c r="C200" s="30" t="s">
        <v>124</v>
      </c>
      <c r="D200" s="30" t="s">
        <v>104</v>
      </c>
      <c r="E200" s="30" t="s">
        <v>116</v>
      </c>
      <c r="F200" s="30" t="s">
        <v>115</v>
      </c>
      <c r="G200" s="30" t="s">
        <v>107</v>
      </c>
      <c r="H200" s="28" t="n">
        <v>5</v>
      </c>
      <c r="I200" s="31" t="n">
        <v>249.9</v>
      </c>
      <c r="J200" s="31" t="n">
        <v>155</v>
      </c>
      <c r="K200" s="31" t="n">
        <f aca="false">H200*I200</f>
        <v>1249.5</v>
      </c>
      <c r="L200" s="31" t="n">
        <f aca="false">H200*J200</f>
        <v>775</v>
      </c>
      <c r="M200" s="31" t="n">
        <f aca="false">K200-L200</f>
        <v>474.5</v>
      </c>
      <c r="N200" s="28" t="n">
        <f aca="false">MONTH(B200)</f>
        <v>4</v>
      </c>
    </row>
    <row r="201" customFormat="false" ht="15" hidden="false" customHeight="false" outlineLevel="0" collapsed="false">
      <c r="A201" s="32" t="n">
        <v>1200</v>
      </c>
      <c r="B201" s="33" t="n">
        <v>46170</v>
      </c>
      <c r="C201" s="34" t="s">
        <v>109</v>
      </c>
      <c r="D201" s="34" t="s">
        <v>121</v>
      </c>
      <c r="E201" s="34" t="s">
        <v>122</v>
      </c>
      <c r="F201" s="34" t="s">
        <v>101</v>
      </c>
      <c r="G201" s="34" t="s">
        <v>113</v>
      </c>
      <c r="H201" s="32" t="n">
        <v>4</v>
      </c>
      <c r="I201" s="35" t="n">
        <v>199.9</v>
      </c>
      <c r="J201" s="35" t="n">
        <v>118</v>
      </c>
      <c r="K201" s="35" t="n">
        <f aca="false">H201*I201</f>
        <v>799.6</v>
      </c>
      <c r="L201" s="35" t="n">
        <f aca="false">H201*J201</f>
        <v>472</v>
      </c>
      <c r="M201" s="35" t="n">
        <f aca="false">K201-L201</f>
        <v>327.6</v>
      </c>
      <c r="N201" s="32" t="n">
        <f aca="false">MONTH(B201)</f>
        <v>5</v>
      </c>
    </row>
    <row r="202" customFormat="false" ht="15" hidden="false" customHeight="false" outlineLevel="0" collapsed="false">
      <c r="A202" s="28" t="n">
        <v>1201</v>
      </c>
      <c r="B202" s="29" t="n">
        <v>46112</v>
      </c>
      <c r="C202" s="30" t="s">
        <v>103</v>
      </c>
      <c r="D202" s="30" t="s">
        <v>99</v>
      </c>
      <c r="E202" s="30" t="s">
        <v>100</v>
      </c>
      <c r="F202" s="30" t="s">
        <v>115</v>
      </c>
      <c r="G202" s="30" t="s">
        <v>102</v>
      </c>
      <c r="H202" s="28" t="n">
        <v>7</v>
      </c>
      <c r="I202" s="31" t="n">
        <v>89.9</v>
      </c>
      <c r="J202" s="31" t="n">
        <v>41</v>
      </c>
      <c r="K202" s="31" t="n">
        <f aca="false">H202*I202</f>
        <v>629.3</v>
      </c>
      <c r="L202" s="31" t="n">
        <f aca="false">H202*J202</f>
        <v>287</v>
      </c>
      <c r="M202" s="31" t="n">
        <f aca="false">K202-L202</f>
        <v>342.3</v>
      </c>
      <c r="N202" s="28" t="n">
        <f aca="false">MONTH(B202)</f>
        <v>3</v>
      </c>
    </row>
    <row r="203" customFormat="false" ht="15" hidden="false" customHeight="false" outlineLevel="0" collapsed="false">
      <c r="A203" s="32" t="n">
        <v>1202</v>
      </c>
      <c r="B203" s="33" t="n">
        <v>46132</v>
      </c>
      <c r="C203" s="34" t="s">
        <v>103</v>
      </c>
      <c r="D203" s="34" t="s">
        <v>104</v>
      </c>
      <c r="E203" s="34" t="s">
        <v>105</v>
      </c>
      <c r="F203" s="34" t="s">
        <v>108</v>
      </c>
      <c r="G203" s="34" t="s">
        <v>107</v>
      </c>
      <c r="H203" s="32" t="n">
        <v>6</v>
      </c>
      <c r="I203" s="35" t="n">
        <v>99.9</v>
      </c>
      <c r="J203" s="35" t="n">
        <v>52</v>
      </c>
      <c r="K203" s="35" t="n">
        <f aca="false">H203*I203</f>
        <v>599.4</v>
      </c>
      <c r="L203" s="35" t="n">
        <f aca="false">H203*J203</f>
        <v>312</v>
      </c>
      <c r="M203" s="35" t="n">
        <f aca="false">K203-L203</f>
        <v>287.4</v>
      </c>
      <c r="N203" s="32" t="n">
        <f aca="false">MONTH(B203)</f>
        <v>4</v>
      </c>
    </row>
    <row r="204" customFormat="false" ht="15" hidden="false" customHeight="false" outlineLevel="0" collapsed="false">
      <c r="A204" s="28" t="n">
        <v>1203</v>
      </c>
      <c r="B204" s="29" t="n">
        <v>46069</v>
      </c>
      <c r="C204" s="30" t="s">
        <v>98</v>
      </c>
      <c r="D204" s="30" t="s">
        <v>99</v>
      </c>
      <c r="E204" s="30" t="s">
        <v>112</v>
      </c>
      <c r="F204" s="30" t="s">
        <v>106</v>
      </c>
      <c r="G204" s="30" t="s">
        <v>107</v>
      </c>
      <c r="H204" s="28" t="n">
        <v>3</v>
      </c>
      <c r="I204" s="31" t="n">
        <v>69.9</v>
      </c>
      <c r="J204" s="31" t="n">
        <v>29</v>
      </c>
      <c r="K204" s="31" t="n">
        <f aca="false">H204*I204</f>
        <v>209.7</v>
      </c>
      <c r="L204" s="31" t="n">
        <f aca="false">H204*J204</f>
        <v>87</v>
      </c>
      <c r="M204" s="31" t="n">
        <f aca="false">K204-L204</f>
        <v>122.7</v>
      </c>
      <c r="N204" s="28" t="n">
        <f aca="false">MONTH(B204)</f>
        <v>2</v>
      </c>
    </row>
    <row r="205" customFormat="false" ht="15" hidden="false" customHeight="false" outlineLevel="0" collapsed="false">
      <c r="A205" s="32" t="n">
        <v>1204</v>
      </c>
      <c r="B205" s="33" t="n">
        <v>46059</v>
      </c>
      <c r="C205" s="34" t="s">
        <v>109</v>
      </c>
      <c r="D205" s="34" t="s">
        <v>110</v>
      </c>
      <c r="E205" s="34" t="s">
        <v>114</v>
      </c>
      <c r="F205" s="34" t="s">
        <v>108</v>
      </c>
      <c r="G205" s="34" t="s">
        <v>102</v>
      </c>
      <c r="H205" s="32" t="n">
        <v>2</v>
      </c>
      <c r="I205" s="35" t="n">
        <v>39.9</v>
      </c>
      <c r="J205" s="35" t="n">
        <v>14</v>
      </c>
      <c r="K205" s="35" t="n">
        <f aca="false">H205*I205</f>
        <v>79.8</v>
      </c>
      <c r="L205" s="35" t="n">
        <f aca="false">H205*J205</f>
        <v>28</v>
      </c>
      <c r="M205" s="35" t="n">
        <f aca="false">K205-L205</f>
        <v>51.8</v>
      </c>
      <c r="N205" s="32" t="n">
        <f aca="false">MONTH(B205)</f>
        <v>2</v>
      </c>
    </row>
    <row r="206" customFormat="false" ht="15" hidden="false" customHeight="false" outlineLevel="0" collapsed="false">
      <c r="A206" s="28" t="n">
        <v>1205</v>
      </c>
      <c r="B206" s="29" t="n">
        <v>46030</v>
      </c>
      <c r="C206" s="30" t="s">
        <v>98</v>
      </c>
      <c r="D206" s="30" t="s">
        <v>121</v>
      </c>
      <c r="E206" s="30" t="s">
        <v>125</v>
      </c>
      <c r="F206" s="30" t="s">
        <v>123</v>
      </c>
      <c r="G206" s="30" t="s">
        <v>107</v>
      </c>
      <c r="H206" s="28" t="n">
        <v>4</v>
      </c>
      <c r="I206" s="31" t="n">
        <v>49.9</v>
      </c>
      <c r="J206" s="31" t="n">
        <v>23</v>
      </c>
      <c r="K206" s="31" t="n">
        <f aca="false">H206*I206</f>
        <v>199.6</v>
      </c>
      <c r="L206" s="31" t="n">
        <f aca="false">H206*J206</f>
        <v>92</v>
      </c>
      <c r="M206" s="31" t="n">
        <f aca="false">K206-L206</f>
        <v>107.6</v>
      </c>
      <c r="N206" s="28" t="n">
        <f aca="false">MONTH(B206)</f>
        <v>1</v>
      </c>
    </row>
    <row r="207" customFormat="false" ht="15" hidden="false" customHeight="false" outlineLevel="0" collapsed="false">
      <c r="A207" s="32" t="n">
        <v>1206</v>
      </c>
      <c r="B207" s="33" t="n">
        <v>46117</v>
      </c>
      <c r="C207" s="34" t="s">
        <v>109</v>
      </c>
      <c r="D207" s="34" t="s">
        <v>99</v>
      </c>
      <c r="E207" s="34" t="s">
        <v>118</v>
      </c>
      <c r="F207" s="34" t="s">
        <v>106</v>
      </c>
      <c r="G207" s="34" t="s">
        <v>113</v>
      </c>
      <c r="H207" s="32" t="n">
        <v>5</v>
      </c>
      <c r="I207" s="35" t="n">
        <v>159.9</v>
      </c>
      <c r="J207" s="35" t="n">
        <v>86</v>
      </c>
      <c r="K207" s="35" t="n">
        <f aca="false">H207*I207</f>
        <v>799.5</v>
      </c>
      <c r="L207" s="35" t="n">
        <f aca="false">H207*J207</f>
        <v>430</v>
      </c>
      <c r="M207" s="35" t="n">
        <f aca="false">K207-L207</f>
        <v>369.5</v>
      </c>
      <c r="N207" s="32" t="n">
        <f aca="false">MONTH(B207)</f>
        <v>4</v>
      </c>
    </row>
    <row r="208" customFormat="false" ht="15" hidden="false" customHeight="false" outlineLevel="0" collapsed="false">
      <c r="A208" s="28" t="n">
        <v>1207</v>
      </c>
      <c r="B208" s="29" t="n">
        <v>46062</v>
      </c>
      <c r="C208" s="30" t="s">
        <v>98</v>
      </c>
      <c r="D208" s="30" t="s">
        <v>104</v>
      </c>
      <c r="E208" s="30" t="s">
        <v>105</v>
      </c>
      <c r="F208" s="30" t="s">
        <v>115</v>
      </c>
      <c r="G208" s="30" t="s">
        <v>107</v>
      </c>
      <c r="H208" s="28" t="n">
        <v>1</v>
      </c>
      <c r="I208" s="31" t="n">
        <v>99.9</v>
      </c>
      <c r="J208" s="31" t="n">
        <v>52</v>
      </c>
      <c r="K208" s="31" t="n">
        <f aca="false">H208*I208</f>
        <v>99.9</v>
      </c>
      <c r="L208" s="31" t="n">
        <f aca="false">H208*J208</f>
        <v>52</v>
      </c>
      <c r="M208" s="31" t="n">
        <f aca="false">K208-L208</f>
        <v>47.9</v>
      </c>
      <c r="N208" s="28" t="n">
        <f aca="false">MONTH(B208)</f>
        <v>2</v>
      </c>
    </row>
    <row r="209" customFormat="false" ht="15" hidden="false" customHeight="false" outlineLevel="0" collapsed="false">
      <c r="A209" s="32" t="n">
        <v>1208</v>
      </c>
      <c r="B209" s="33" t="n">
        <v>46131</v>
      </c>
      <c r="C209" s="34" t="s">
        <v>109</v>
      </c>
      <c r="D209" s="34" t="s">
        <v>110</v>
      </c>
      <c r="E209" s="34" t="s">
        <v>119</v>
      </c>
      <c r="F209" s="34" t="s">
        <v>101</v>
      </c>
      <c r="G209" s="34" t="s">
        <v>102</v>
      </c>
      <c r="H209" s="32" t="n">
        <v>3</v>
      </c>
      <c r="I209" s="35" t="n">
        <v>119.9</v>
      </c>
      <c r="J209" s="35" t="n">
        <v>55</v>
      </c>
      <c r="K209" s="35" t="n">
        <f aca="false">H209*I209</f>
        <v>359.7</v>
      </c>
      <c r="L209" s="35" t="n">
        <f aca="false">H209*J209</f>
        <v>165</v>
      </c>
      <c r="M209" s="35" t="n">
        <f aca="false">K209-L209</f>
        <v>194.7</v>
      </c>
      <c r="N209" s="32" t="n">
        <f aca="false">MONTH(B209)</f>
        <v>4</v>
      </c>
    </row>
    <row r="210" customFormat="false" ht="15" hidden="false" customHeight="false" outlineLevel="0" collapsed="false">
      <c r="A210" s="28" t="n">
        <v>1209</v>
      </c>
      <c r="B210" s="29" t="n">
        <v>46052</v>
      </c>
      <c r="C210" s="30" t="s">
        <v>109</v>
      </c>
      <c r="D210" s="30" t="s">
        <v>104</v>
      </c>
      <c r="E210" s="30" t="s">
        <v>116</v>
      </c>
      <c r="F210" s="30" t="s">
        <v>108</v>
      </c>
      <c r="G210" s="30" t="s">
        <v>102</v>
      </c>
      <c r="H210" s="28" t="n">
        <v>6</v>
      </c>
      <c r="I210" s="31" t="n">
        <v>249.9</v>
      </c>
      <c r="J210" s="31" t="n">
        <v>155</v>
      </c>
      <c r="K210" s="31" t="n">
        <f aca="false">H210*I210</f>
        <v>1499.4</v>
      </c>
      <c r="L210" s="31" t="n">
        <f aca="false">H210*J210</f>
        <v>930</v>
      </c>
      <c r="M210" s="31" t="n">
        <f aca="false">K210-L210</f>
        <v>569.4</v>
      </c>
      <c r="N210" s="28" t="n">
        <f aca="false">MONTH(B210)</f>
        <v>1</v>
      </c>
    </row>
    <row r="211" customFormat="false" ht="15" hidden="false" customHeight="false" outlineLevel="0" collapsed="false">
      <c r="A211" s="32" t="n">
        <v>1210</v>
      </c>
      <c r="B211" s="33" t="n">
        <v>46157</v>
      </c>
      <c r="C211" s="34" t="s">
        <v>103</v>
      </c>
      <c r="D211" s="34" t="s">
        <v>104</v>
      </c>
      <c r="E211" s="34" t="s">
        <v>120</v>
      </c>
      <c r="F211" s="34" t="s">
        <v>117</v>
      </c>
      <c r="G211" s="34" t="s">
        <v>107</v>
      </c>
      <c r="H211" s="32" t="n">
        <v>4</v>
      </c>
      <c r="I211" s="35" t="n">
        <v>149.9</v>
      </c>
      <c r="J211" s="35" t="n">
        <v>88</v>
      </c>
      <c r="K211" s="35" t="n">
        <f aca="false">H211*I211</f>
        <v>599.6</v>
      </c>
      <c r="L211" s="35" t="n">
        <f aca="false">H211*J211</f>
        <v>352</v>
      </c>
      <c r="M211" s="35" t="n">
        <f aca="false">K211-L211</f>
        <v>247.6</v>
      </c>
      <c r="N211" s="32" t="n">
        <f aca="false">MONTH(B211)</f>
        <v>5</v>
      </c>
    </row>
    <row r="212" customFormat="false" ht="15" hidden="false" customHeight="false" outlineLevel="0" collapsed="false">
      <c r="A212" s="28" t="n">
        <v>1211</v>
      </c>
      <c r="B212" s="29" t="n">
        <v>46075</v>
      </c>
      <c r="C212" s="30" t="s">
        <v>109</v>
      </c>
      <c r="D212" s="30" t="s">
        <v>121</v>
      </c>
      <c r="E212" s="30" t="s">
        <v>126</v>
      </c>
      <c r="F212" s="30" t="s">
        <v>115</v>
      </c>
      <c r="G212" s="30" t="s">
        <v>107</v>
      </c>
      <c r="H212" s="28" t="n">
        <v>7</v>
      </c>
      <c r="I212" s="31" t="n">
        <v>79.9</v>
      </c>
      <c r="J212" s="31" t="n">
        <v>39</v>
      </c>
      <c r="K212" s="31" t="n">
        <f aca="false">H212*I212</f>
        <v>559.3</v>
      </c>
      <c r="L212" s="31" t="n">
        <f aca="false">H212*J212</f>
        <v>273</v>
      </c>
      <c r="M212" s="31" t="n">
        <f aca="false">K212-L212</f>
        <v>286.3</v>
      </c>
      <c r="N212" s="28" t="n">
        <f aca="false">MONTH(B212)</f>
        <v>2</v>
      </c>
    </row>
    <row r="213" customFormat="false" ht="15" hidden="false" customHeight="false" outlineLevel="0" collapsed="false">
      <c r="A213" s="32" t="n">
        <v>1212</v>
      </c>
      <c r="B213" s="33" t="n">
        <v>46053</v>
      </c>
      <c r="C213" s="34" t="s">
        <v>98</v>
      </c>
      <c r="D213" s="34" t="s">
        <v>110</v>
      </c>
      <c r="E213" s="34" t="s">
        <v>114</v>
      </c>
      <c r="F213" s="34" t="s">
        <v>123</v>
      </c>
      <c r="G213" s="34" t="s">
        <v>102</v>
      </c>
      <c r="H213" s="32" t="n">
        <v>2</v>
      </c>
      <c r="I213" s="35" t="n">
        <v>39.9</v>
      </c>
      <c r="J213" s="35" t="n">
        <v>14</v>
      </c>
      <c r="K213" s="35" t="n">
        <f aca="false">H213*I213</f>
        <v>79.8</v>
      </c>
      <c r="L213" s="35" t="n">
        <f aca="false">H213*J213</f>
        <v>28</v>
      </c>
      <c r="M213" s="35" t="n">
        <f aca="false">K213-L213</f>
        <v>51.8</v>
      </c>
      <c r="N213" s="32" t="n">
        <f aca="false">MONTH(B213)</f>
        <v>1</v>
      </c>
    </row>
    <row r="214" customFormat="false" ht="15" hidden="false" customHeight="false" outlineLevel="0" collapsed="false">
      <c r="A214" s="28" t="n">
        <v>1213</v>
      </c>
      <c r="B214" s="29" t="n">
        <v>46081</v>
      </c>
      <c r="C214" s="30" t="s">
        <v>109</v>
      </c>
      <c r="D214" s="30" t="s">
        <v>99</v>
      </c>
      <c r="E214" s="30" t="s">
        <v>100</v>
      </c>
      <c r="F214" s="30" t="s">
        <v>108</v>
      </c>
      <c r="G214" s="30" t="s">
        <v>107</v>
      </c>
      <c r="H214" s="28" t="n">
        <v>4</v>
      </c>
      <c r="I214" s="31" t="n">
        <v>89.9</v>
      </c>
      <c r="J214" s="31" t="n">
        <v>41</v>
      </c>
      <c r="K214" s="31" t="n">
        <f aca="false">H214*I214</f>
        <v>359.6</v>
      </c>
      <c r="L214" s="31" t="n">
        <f aca="false">H214*J214</f>
        <v>164</v>
      </c>
      <c r="M214" s="31" t="n">
        <f aca="false">K214-L214</f>
        <v>195.6</v>
      </c>
      <c r="N214" s="28" t="n">
        <f aca="false">MONTH(B214)</f>
        <v>2</v>
      </c>
    </row>
    <row r="215" customFormat="false" ht="15" hidden="false" customHeight="false" outlineLevel="0" collapsed="false">
      <c r="A215" s="32" t="n">
        <v>1214</v>
      </c>
      <c r="B215" s="33" t="n">
        <v>46027</v>
      </c>
      <c r="C215" s="34" t="s">
        <v>109</v>
      </c>
      <c r="D215" s="34" t="s">
        <v>104</v>
      </c>
      <c r="E215" s="34" t="s">
        <v>116</v>
      </c>
      <c r="F215" s="34" t="s">
        <v>123</v>
      </c>
      <c r="G215" s="34" t="s">
        <v>102</v>
      </c>
      <c r="H215" s="32" t="n">
        <v>5</v>
      </c>
      <c r="I215" s="35" t="n">
        <v>249.9</v>
      </c>
      <c r="J215" s="35" t="n">
        <v>155</v>
      </c>
      <c r="K215" s="35" t="n">
        <f aca="false">H215*I215</f>
        <v>1249.5</v>
      </c>
      <c r="L215" s="35" t="n">
        <f aca="false">H215*J215</f>
        <v>775</v>
      </c>
      <c r="M215" s="35" t="n">
        <f aca="false">K215-L215</f>
        <v>474.5</v>
      </c>
      <c r="N215" s="32" t="n">
        <f aca="false">MONTH(B215)</f>
        <v>1</v>
      </c>
    </row>
    <row r="216" customFormat="false" ht="15" hidden="false" customHeight="false" outlineLevel="0" collapsed="false">
      <c r="A216" s="28" t="n">
        <v>1215</v>
      </c>
      <c r="B216" s="29" t="n">
        <v>46186</v>
      </c>
      <c r="C216" s="30" t="s">
        <v>109</v>
      </c>
      <c r="D216" s="30" t="s">
        <v>104</v>
      </c>
      <c r="E216" s="30" t="s">
        <v>116</v>
      </c>
      <c r="F216" s="30" t="s">
        <v>115</v>
      </c>
      <c r="G216" s="30" t="s">
        <v>107</v>
      </c>
      <c r="H216" s="28" t="n">
        <v>1</v>
      </c>
      <c r="I216" s="31" t="n">
        <v>249.9</v>
      </c>
      <c r="J216" s="31" t="n">
        <v>155</v>
      </c>
      <c r="K216" s="31" t="n">
        <f aca="false">H216*I216</f>
        <v>249.9</v>
      </c>
      <c r="L216" s="31" t="n">
        <f aca="false">H216*J216</f>
        <v>155</v>
      </c>
      <c r="M216" s="31" t="n">
        <f aca="false">K216-L216</f>
        <v>94.9</v>
      </c>
      <c r="N216" s="28" t="n">
        <f aca="false">MONTH(B216)</f>
        <v>6</v>
      </c>
    </row>
    <row r="217" customFormat="false" ht="15" hidden="false" customHeight="false" outlineLevel="0" collapsed="false">
      <c r="A217" s="32" t="n">
        <v>1216</v>
      </c>
      <c r="B217" s="33" t="n">
        <v>46181</v>
      </c>
      <c r="C217" s="34" t="s">
        <v>109</v>
      </c>
      <c r="D217" s="34" t="s">
        <v>99</v>
      </c>
      <c r="E217" s="34" t="s">
        <v>100</v>
      </c>
      <c r="F217" s="34" t="s">
        <v>106</v>
      </c>
      <c r="G217" s="34" t="s">
        <v>107</v>
      </c>
      <c r="H217" s="32" t="n">
        <v>4</v>
      </c>
      <c r="I217" s="35" t="n">
        <v>89.9</v>
      </c>
      <c r="J217" s="35" t="n">
        <v>41</v>
      </c>
      <c r="K217" s="35" t="n">
        <f aca="false">H217*I217</f>
        <v>359.6</v>
      </c>
      <c r="L217" s="35" t="n">
        <f aca="false">H217*J217</f>
        <v>164</v>
      </c>
      <c r="M217" s="35" t="n">
        <f aca="false">K217-L217</f>
        <v>195.6</v>
      </c>
      <c r="N217" s="32" t="n">
        <f aca="false">MONTH(B217)</f>
        <v>6</v>
      </c>
    </row>
    <row r="218" customFormat="false" ht="15" hidden="false" customHeight="false" outlineLevel="0" collapsed="false">
      <c r="A218" s="28" t="n">
        <v>1217</v>
      </c>
      <c r="B218" s="29" t="n">
        <v>46173</v>
      </c>
      <c r="C218" s="30" t="s">
        <v>109</v>
      </c>
      <c r="D218" s="30" t="s">
        <v>104</v>
      </c>
      <c r="E218" s="30" t="s">
        <v>116</v>
      </c>
      <c r="F218" s="30" t="s">
        <v>115</v>
      </c>
      <c r="G218" s="30" t="s">
        <v>102</v>
      </c>
      <c r="H218" s="28" t="n">
        <v>7</v>
      </c>
      <c r="I218" s="31" t="n">
        <v>249.9</v>
      </c>
      <c r="J218" s="31" t="n">
        <v>155</v>
      </c>
      <c r="K218" s="31" t="n">
        <f aca="false">H218*I218</f>
        <v>1749.3</v>
      </c>
      <c r="L218" s="31" t="n">
        <f aca="false">H218*J218</f>
        <v>1085</v>
      </c>
      <c r="M218" s="31" t="n">
        <f aca="false">K218-L218</f>
        <v>664.3</v>
      </c>
      <c r="N218" s="28" t="n">
        <f aca="false">MONTH(B218)</f>
        <v>5</v>
      </c>
    </row>
    <row r="219" customFormat="false" ht="15" hidden="false" customHeight="false" outlineLevel="0" collapsed="false">
      <c r="A219" s="32" t="n">
        <v>1218</v>
      </c>
      <c r="B219" s="33" t="n">
        <v>46079</v>
      </c>
      <c r="C219" s="34" t="s">
        <v>109</v>
      </c>
      <c r="D219" s="34" t="s">
        <v>121</v>
      </c>
      <c r="E219" s="34" t="s">
        <v>126</v>
      </c>
      <c r="F219" s="34" t="s">
        <v>108</v>
      </c>
      <c r="G219" s="34" t="s">
        <v>107</v>
      </c>
      <c r="H219" s="32" t="n">
        <v>5</v>
      </c>
      <c r="I219" s="35" t="n">
        <v>79.9</v>
      </c>
      <c r="J219" s="35" t="n">
        <v>39</v>
      </c>
      <c r="K219" s="35" t="n">
        <f aca="false">H219*I219</f>
        <v>399.5</v>
      </c>
      <c r="L219" s="35" t="n">
        <f aca="false">H219*J219</f>
        <v>195</v>
      </c>
      <c r="M219" s="35" t="n">
        <f aca="false">K219-L219</f>
        <v>204.5</v>
      </c>
      <c r="N219" s="32" t="n">
        <f aca="false">MONTH(B219)</f>
        <v>2</v>
      </c>
    </row>
    <row r="220" customFormat="false" ht="15" hidden="false" customHeight="false" outlineLevel="0" collapsed="false">
      <c r="A220" s="28" t="n">
        <v>1219</v>
      </c>
      <c r="B220" s="29" t="n">
        <v>46153</v>
      </c>
      <c r="C220" s="30" t="s">
        <v>98</v>
      </c>
      <c r="D220" s="30" t="s">
        <v>99</v>
      </c>
      <c r="E220" s="30" t="s">
        <v>112</v>
      </c>
      <c r="F220" s="30" t="s">
        <v>108</v>
      </c>
      <c r="G220" s="30" t="s">
        <v>113</v>
      </c>
      <c r="H220" s="28" t="n">
        <v>6</v>
      </c>
      <c r="I220" s="31" t="n">
        <v>69.9</v>
      </c>
      <c r="J220" s="31" t="n">
        <v>29</v>
      </c>
      <c r="K220" s="31" t="n">
        <f aca="false">H220*I220</f>
        <v>419.4</v>
      </c>
      <c r="L220" s="31" t="n">
        <f aca="false">H220*J220</f>
        <v>174</v>
      </c>
      <c r="M220" s="31" t="n">
        <f aca="false">K220-L220</f>
        <v>245.4</v>
      </c>
      <c r="N220" s="28" t="n">
        <f aca="false">MONTH(B220)</f>
        <v>5</v>
      </c>
    </row>
    <row r="221" customFormat="false" ht="15" hidden="false" customHeight="false" outlineLevel="0" collapsed="false">
      <c r="A221" s="32" t="n">
        <v>1220</v>
      </c>
      <c r="B221" s="33" t="n">
        <v>46083</v>
      </c>
      <c r="C221" s="34" t="s">
        <v>98</v>
      </c>
      <c r="D221" s="34" t="s">
        <v>99</v>
      </c>
      <c r="E221" s="34" t="s">
        <v>100</v>
      </c>
      <c r="F221" s="34" t="s">
        <v>117</v>
      </c>
      <c r="G221" s="34" t="s">
        <v>107</v>
      </c>
      <c r="H221" s="32" t="n">
        <v>2</v>
      </c>
      <c r="I221" s="35" t="n">
        <v>89.9</v>
      </c>
      <c r="J221" s="35" t="n">
        <v>41</v>
      </c>
      <c r="K221" s="35" t="n">
        <f aca="false">H221*I221</f>
        <v>179.8</v>
      </c>
      <c r="L221" s="35" t="n">
        <f aca="false">H221*J221</f>
        <v>82</v>
      </c>
      <c r="M221" s="35" t="n">
        <f aca="false">K221-L221</f>
        <v>97.8</v>
      </c>
      <c r="N221" s="32" t="n">
        <f aca="false">MONTH(B221)</f>
        <v>3</v>
      </c>
    </row>
    <row r="222" customFormat="false" ht="15" hidden="false" customHeight="false" outlineLevel="0" collapsed="false">
      <c r="A222" s="28" t="n">
        <v>1221</v>
      </c>
      <c r="B222" s="29" t="n">
        <v>46190</v>
      </c>
      <c r="C222" s="30" t="s">
        <v>98</v>
      </c>
      <c r="D222" s="30" t="s">
        <v>110</v>
      </c>
      <c r="E222" s="30" t="s">
        <v>119</v>
      </c>
      <c r="F222" s="30" t="s">
        <v>117</v>
      </c>
      <c r="G222" s="30" t="s">
        <v>102</v>
      </c>
      <c r="H222" s="28" t="n">
        <v>7</v>
      </c>
      <c r="I222" s="31" t="n">
        <v>119.9</v>
      </c>
      <c r="J222" s="31" t="n">
        <v>55</v>
      </c>
      <c r="K222" s="31" t="n">
        <f aca="false">H222*I222</f>
        <v>839.3</v>
      </c>
      <c r="L222" s="31" t="n">
        <f aca="false">H222*J222</f>
        <v>385</v>
      </c>
      <c r="M222" s="31" t="n">
        <f aca="false">K222-L222</f>
        <v>454.3</v>
      </c>
      <c r="N222" s="28" t="n">
        <f aca="false">MONTH(B222)</f>
        <v>6</v>
      </c>
    </row>
    <row r="223" customFormat="false" ht="15" hidden="false" customHeight="false" outlineLevel="0" collapsed="false">
      <c r="A223" s="32" t="n">
        <v>1222</v>
      </c>
      <c r="B223" s="33" t="n">
        <v>46137</v>
      </c>
      <c r="C223" s="34" t="s">
        <v>103</v>
      </c>
      <c r="D223" s="34" t="s">
        <v>99</v>
      </c>
      <c r="E223" s="34" t="s">
        <v>118</v>
      </c>
      <c r="F223" s="34" t="s">
        <v>101</v>
      </c>
      <c r="G223" s="34" t="s">
        <v>107</v>
      </c>
      <c r="H223" s="32" t="n">
        <v>3</v>
      </c>
      <c r="I223" s="35" t="n">
        <v>159.9</v>
      </c>
      <c r="J223" s="35" t="n">
        <v>86</v>
      </c>
      <c r="K223" s="35" t="n">
        <f aca="false">H223*I223</f>
        <v>479.7</v>
      </c>
      <c r="L223" s="35" t="n">
        <f aca="false">H223*J223</f>
        <v>258</v>
      </c>
      <c r="M223" s="35" t="n">
        <f aca="false">K223-L223</f>
        <v>221.7</v>
      </c>
      <c r="N223" s="32" t="n">
        <f aca="false">MONTH(B223)</f>
        <v>4</v>
      </c>
    </row>
    <row r="224" customFormat="false" ht="15" hidden="false" customHeight="false" outlineLevel="0" collapsed="false">
      <c r="A224" s="28" t="n">
        <v>1223</v>
      </c>
      <c r="B224" s="29" t="n">
        <v>46143</v>
      </c>
      <c r="C224" s="30" t="s">
        <v>109</v>
      </c>
      <c r="D224" s="30" t="s">
        <v>99</v>
      </c>
      <c r="E224" s="30" t="s">
        <v>112</v>
      </c>
      <c r="F224" s="30" t="s">
        <v>106</v>
      </c>
      <c r="G224" s="30" t="s">
        <v>107</v>
      </c>
      <c r="H224" s="28" t="n">
        <v>5</v>
      </c>
      <c r="I224" s="31" t="n">
        <v>69.9</v>
      </c>
      <c r="J224" s="31" t="n">
        <v>29</v>
      </c>
      <c r="K224" s="31" t="n">
        <f aca="false">H224*I224</f>
        <v>349.5</v>
      </c>
      <c r="L224" s="31" t="n">
        <f aca="false">H224*J224</f>
        <v>145</v>
      </c>
      <c r="M224" s="31" t="n">
        <f aca="false">K224-L224</f>
        <v>204.5</v>
      </c>
      <c r="N224" s="28" t="n">
        <f aca="false">MONTH(B224)</f>
        <v>5</v>
      </c>
    </row>
    <row r="225" customFormat="false" ht="15" hidden="false" customHeight="false" outlineLevel="0" collapsed="false">
      <c r="A225" s="32" t="n">
        <v>1224</v>
      </c>
      <c r="B225" s="33" t="n">
        <v>46041</v>
      </c>
      <c r="C225" s="34" t="s">
        <v>109</v>
      </c>
      <c r="D225" s="34" t="s">
        <v>110</v>
      </c>
      <c r="E225" s="34" t="s">
        <v>114</v>
      </c>
      <c r="F225" s="34" t="s">
        <v>115</v>
      </c>
      <c r="G225" s="34" t="s">
        <v>113</v>
      </c>
      <c r="H225" s="32" t="n">
        <v>1</v>
      </c>
      <c r="I225" s="35" t="n">
        <v>39.9</v>
      </c>
      <c r="J225" s="35" t="n">
        <v>14</v>
      </c>
      <c r="K225" s="35" t="n">
        <f aca="false">H225*I225</f>
        <v>39.9</v>
      </c>
      <c r="L225" s="35" t="n">
        <f aca="false">H225*J225</f>
        <v>14</v>
      </c>
      <c r="M225" s="35" t="n">
        <f aca="false">K225-L225</f>
        <v>25.9</v>
      </c>
      <c r="N225" s="32" t="n">
        <f aca="false">MONTH(B225)</f>
        <v>1</v>
      </c>
    </row>
    <row r="226" customFormat="false" ht="15" hidden="false" customHeight="false" outlineLevel="0" collapsed="false">
      <c r="A226" s="28" t="n">
        <v>1225</v>
      </c>
      <c r="B226" s="29" t="n">
        <v>46042</v>
      </c>
      <c r="C226" s="30" t="s">
        <v>109</v>
      </c>
      <c r="D226" s="30" t="s">
        <v>104</v>
      </c>
      <c r="E226" s="30" t="s">
        <v>105</v>
      </c>
      <c r="F226" s="30" t="s">
        <v>117</v>
      </c>
      <c r="G226" s="30" t="s">
        <v>107</v>
      </c>
      <c r="H226" s="28" t="n">
        <v>5</v>
      </c>
      <c r="I226" s="31" t="n">
        <v>99.9</v>
      </c>
      <c r="J226" s="31" t="n">
        <v>52</v>
      </c>
      <c r="K226" s="31" t="n">
        <f aca="false">H226*I226</f>
        <v>499.5</v>
      </c>
      <c r="L226" s="31" t="n">
        <f aca="false">H226*J226</f>
        <v>260</v>
      </c>
      <c r="M226" s="31" t="n">
        <f aca="false">K226-L226</f>
        <v>239.5</v>
      </c>
      <c r="N226" s="28" t="n">
        <f aca="false">MONTH(B226)</f>
        <v>1</v>
      </c>
    </row>
    <row r="227" customFormat="false" ht="15" hidden="false" customHeight="false" outlineLevel="0" collapsed="false">
      <c r="A227" s="32" t="n">
        <v>1226</v>
      </c>
      <c r="B227" s="33" t="n">
        <v>46171</v>
      </c>
      <c r="C227" s="34" t="s">
        <v>109</v>
      </c>
      <c r="D227" s="34" t="s">
        <v>104</v>
      </c>
      <c r="E227" s="34" t="s">
        <v>116</v>
      </c>
      <c r="F227" s="34" t="s">
        <v>117</v>
      </c>
      <c r="G227" s="34" t="s">
        <v>102</v>
      </c>
      <c r="H227" s="32" t="n">
        <v>7</v>
      </c>
      <c r="I227" s="35" t="n">
        <v>249.9</v>
      </c>
      <c r="J227" s="35" t="n">
        <v>155</v>
      </c>
      <c r="K227" s="35" t="n">
        <f aca="false">H227*I227</f>
        <v>1749.3</v>
      </c>
      <c r="L227" s="35" t="n">
        <f aca="false">H227*J227</f>
        <v>1085</v>
      </c>
      <c r="M227" s="35" t="n">
        <f aca="false">K227-L227</f>
        <v>664.3</v>
      </c>
      <c r="N227" s="32" t="n">
        <f aca="false">MONTH(B227)</f>
        <v>5</v>
      </c>
    </row>
    <row r="228" customFormat="false" ht="15" hidden="false" customHeight="false" outlineLevel="0" collapsed="false">
      <c r="A228" s="28" t="n">
        <v>1227</v>
      </c>
      <c r="B228" s="29" t="n">
        <v>46105</v>
      </c>
      <c r="C228" s="30" t="s">
        <v>109</v>
      </c>
      <c r="D228" s="30" t="s">
        <v>121</v>
      </c>
      <c r="E228" s="30" t="s">
        <v>126</v>
      </c>
      <c r="F228" s="30" t="s">
        <v>106</v>
      </c>
      <c r="G228" s="30" t="s">
        <v>113</v>
      </c>
      <c r="H228" s="28" t="n">
        <v>4</v>
      </c>
      <c r="I228" s="31" t="n">
        <v>79.9</v>
      </c>
      <c r="J228" s="31" t="n">
        <v>39</v>
      </c>
      <c r="K228" s="31" t="n">
        <f aca="false">H228*I228</f>
        <v>319.6</v>
      </c>
      <c r="L228" s="31" t="n">
        <f aca="false">H228*J228</f>
        <v>156</v>
      </c>
      <c r="M228" s="31" t="n">
        <f aca="false">K228-L228</f>
        <v>163.6</v>
      </c>
      <c r="N228" s="28" t="n">
        <f aca="false">MONTH(B228)</f>
        <v>3</v>
      </c>
    </row>
    <row r="229" customFormat="false" ht="15" hidden="false" customHeight="false" outlineLevel="0" collapsed="false">
      <c r="A229" s="32" t="n">
        <v>1228</v>
      </c>
      <c r="B229" s="33" t="n">
        <v>46110</v>
      </c>
      <c r="C229" s="34" t="s">
        <v>124</v>
      </c>
      <c r="D229" s="34" t="s">
        <v>104</v>
      </c>
      <c r="E229" s="34" t="s">
        <v>105</v>
      </c>
      <c r="F229" s="34" t="s">
        <v>101</v>
      </c>
      <c r="G229" s="34" t="s">
        <v>107</v>
      </c>
      <c r="H229" s="32" t="n">
        <v>6</v>
      </c>
      <c r="I229" s="35" t="n">
        <v>99.9</v>
      </c>
      <c r="J229" s="35" t="n">
        <v>52</v>
      </c>
      <c r="K229" s="35" t="n">
        <f aca="false">H229*I229</f>
        <v>599.4</v>
      </c>
      <c r="L229" s="35" t="n">
        <f aca="false">H229*J229</f>
        <v>312</v>
      </c>
      <c r="M229" s="35" t="n">
        <f aca="false">K229-L229</f>
        <v>287.4</v>
      </c>
      <c r="N229" s="32" t="n">
        <f aca="false">MONTH(B229)</f>
        <v>3</v>
      </c>
    </row>
    <row r="230" customFormat="false" ht="15" hidden="false" customHeight="false" outlineLevel="0" collapsed="false">
      <c r="A230" s="28" t="n">
        <v>1229</v>
      </c>
      <c r="B230" s="29" t="n">
        <v>46135</v>
      </c>
      <c r="C230" s="30" t="s">
        <v>124</v>
      </c>
      <c r="D230" s="30" t="s">
        <v>121</v>
      </c>
      <c r="E230" s="30" t="s">
        <v>125</v>
      </c>
      <c r="F230" s="30" t="s">
        <v>115</v>
      </c>
      <c r="G230" s="30" t="s">
        <v>107</v>
      </c>
      <c r="H230" s="28" t="n">
        <v>3</v>
      </c>
      <c r="I230" s="31" t="n">
        <v>49.9</v>
      </c>
      <c r="J230" s="31" t="n">
        <v>23</v>
      </c>
      <c r="K230" s="31" t="n">
        <f aca="false">H230*I230</f>
        <v>149.7</v>
      </c>
      <c r="L230" s="31" t="n">
        <f aca="false">H230*J230</f>
        <v>69</v>
      </c>
      <c r="M230" s="31" t="n">
        <f aca="false">K230-L230</f>
        <v>80.7</v>
      </c>
      <c r="N230" s="28" t="n">
        <f aca="false">MONTH(B230)</f>
        <v>4</v>
      </c>
    </row>
    <row r="231" customFormat="false" ht="15" hidden="false" customHeight="false" outlineLevel="0" collapsed="false">
      <c r="A231" s="32" t="n">
        <v>1230</v>
      </c>
      <c r="B231" s="33" t="n">
        <v>46109</v>
      </c>
      <c r="C231" s="34" t="s">
        <v>103</v>
      </c>
      <c r="D231" s="34" t="s">
        <v>104</v>
      </c>
      <c r="E231" s="34" t="s">
        <v>105</v>
      </c>
      <c r="F231" s="34" t="s">
        <v>115</v>
      </c>
      <c r="G231" s="34" t="s">
        <v>107</v>
      </c>
      <c r="H231" s="32" t="n">
        <v>6</v>
      </c>
      <c r="I231" s="35" t="n">
        <v>99.9</v>
      </c>
      <c r="J231" s="35" t="n">
        <v>52</v>
      </c>
      <c r="K231" s="35" t="n">
        <f aca="false">H231*I231</f>
        <v>599.4</v>
      </c>
      <c r="L231" s="35" t="n">
        <f aca="false">H231*J231</f>
        <v>312</v>
      </c>
      <c r="M231" s="35" t="n">
        <f aca="false">K231-L231</f>
        <v>287.4</v>
      </c>
      <c r="N231" s="32" t="n">
        <f aca="false">MONTH(B231)</f>
        <v>3</v>
      </c>
    </row>
    <row r="232" customFormat="false" ht="15" hidden="false" customHeight="false" outlineLevel="0" collapsed="false">
      <c r="A232" s="28" t="n">
        <v>1231</v>
      </c>
      <c r="B232" s="29" t="n">
        <v>46047</v>
      </c>
      <c r="C232" s="30" t="s">
        <v>109</v>
      </c>
      <c r="D232" s="30" t="s">
        <v>110</v>
      </c>
      <c r="E232" s="30" t="s">
        <v>119</v>
      </c>
      <c r="F232" s="30" t="s">
        <v>108</v>
      </c>
      <c r="G232" s="30" t="s">
        <v>113</v>
      </c>
      <c r="H232" s="28" t="n">
        <v>3</v>
      </c>
      <c r="I232" s="31" t="n">
        <v>119.9</v>
      </c>
      <c r="J232" s="31" t="n">
        <v>55</v>
      </c>
      <c r="K232" s="31" t="n">
        <f aca="false">H232*I232</f>
        <v>359.7</v>
      </c>
      <c r="L232" s="31" t="n">
        <f aca="false">H232*J232</f>
        <v>165</v>
      </c>
      <c r="M232" s="31" t="n">
        <f aca="false">K232-L232</f>
        <v>194.7</v>
      </c>
      <c r="N232" s="28" t="n">
        <f aca="false">MONTH(B232)</f>
        <v>1</v>
      </c>
    </row>
    <row r="233" customFormat="false" ht="15" hidden="false" customHeight="false" outlineLevel="0" collapsed="false">
      <c r="A233" s="32" t="n">
        <v>1232</v>
      </c>
      <c r="B233" s="33" t="n">
        <v>46177</v>
      </c>
      <c r="C233" s="34" t="s">
        <v>124</v>
      </c>
      <c r="D233" s="34" t="s">
        <v>99</v>
      </c>
      <c r="E233" s="34" t="s">
        <v>100</v>
      </c>
      <c r="F233" s="34" t="s">
        <v>108</v>
      </c>
      <c r="G233" s="34" t="s">
        <v>107</v>
      </c>
      <c r="H233" s="32" t="n">
        <v>5</v>
      </c>
      <c r="I233" s="35" t="n">
        <v>89.9</v>
      </c>
      <c r="J233" s="35" t="n">
        <v>41</v>
      </c>
      <c r="K233" s="35" t="n">
        <f aca="false">H233*I233</f>
        <v>449.5</v>
      </c>
      <c r="L233" s="35" t="n">
        <f aca="false">H233*J233</f>
        <v>205</v>
      </c>
      <c r="M233" s="35" t="n">
        <f aca="false">K233-L233</f>
        <v>244.5</v>
      </c>
      <c r="N233" s="32" t="n">
        <f aca="false">MONTH(B233)</f>
        <v>6</v>
      </c>
    </row>
    <row r="234" customFormat="false" ht="15" hidden="false" customHeight="false" outlineLevel="0" collapsed="false">
      <c r="A234" s="28" t="n">
        <v>1233</v>
      </c>
      <c r="B234" s="29" t="n">
        <v>46112</v>
      </c>
      <c r="C234" s="30" t="s">
        <v>109</v>
      </c>
      <c r="D234" s="30" t="s">
        <v>110</v>
      </c>
      <c r="E234" s="30" t="s">
        <v>114</v>
      </c>
      <c r="F234" s="30" t="s">
        <v>108</v>
      </c>
      <c r="G234" s="30" t="s">
        <v>113</v>
      </c>
      <c r="H234" s="28" t="n">
        <v>5</v>
      </c>
      <c r="I234" s="31" t="n">
        <v>39.9</v>
      </c>
      <c r="J234" s="31" t="n">
        <v>14</v>
      </c>
      <c r="K234" s="31" t="n">
        <f aca="false">H234*I234</f>
        <v>199.5</v>
      </c>
      <c r="L234" s="31" t="n">
        <f aca="false">H234*J234</f>
        <v>70</v>
      </c>
      <c r="M234" s="31" t="n">
        <f aca="false">K234-L234</f>
        <v>129.5</v>
      </c>
      <c r="N234" s="28" t="n">
        <f aca="false">MONTH(B234)</f>
        <v>3</v>
      </c>
    </row>
    <row r="235" customFormat="false" ht="15" hidden="false" customHeight="false" outlineLevel="0" collapsed="false">
      <c r="A235" s="32" t="n">
        <v>1234</v>
      </c>
      <c r="B235" s="33" t="n">
        <v>46102</v>
      </c>
      <c r="C235" s="34" t="s">
        <v>109</v>
      </c>
      <c r="D235" s="34" t="s">
        <v>99</v>
      </c>
      <c r="E235" s="34" t="s">
        <v>100</v>
      </c>
      <c r="F235" s="34" t="s">
        <v>108</v>
      </c>
      <c r="G235" s="34" t="s">
        <v>113</v>
      </c>
      <c r="H235" s="32" t="n">
        <v>6</v>
      </c>
      <c r="I235" s="35" t="n">
        <v>89.9</v>
      </c>
      <c r="J235" s="35" t="n">
        <v>41</v>
      </c>
      <c r="K235" s="35" t="n">
        <f aca="false">H235*I235</f>
        <v>539.4</v>
      </c>
      <c r="L235" s="35" t="n">
        <f aca="false">H235*J235</f>
        <v>246</v>
      </c>
      <c r="M235" s="35" t="n">
        <f aca="false">K235-L235</f>
        <v>293.4</v>
      </c>
      <c r="N235" s="32" t="n">
        <f aca="false">MONTH(B235)</f>
        <v>3</v>
      </c>
    </row>
    <row r="236" customFormat="false" ht="15" hidden="false" customHeight="false" outlineLevel="0" collapsed="false">
      <c r="A236" s="28" t="n">
        <v>1235</v>
      </c>
      <c r="B236" s="29" t="n">
        <v>46198</v>
      </c>
      <c r="C236" s="30" t="s">
        <v>124</v>
      </c>
      <c r="D236" s="30" t="s">
        <v>104</v>
      </c>
      <c r="E236" s="30" t="s">
        <v>105</v>
      </c>
      <c r="F236" s="30" t="s">
        <v>123</v>
      </c>
      <c r="G236" s="30" t="s">
        <v>102</v>
      </c>
      <c r="H236" s="28" t="n">
        <v>6</v>
      </c>
      <c r="I236" s="31" t="n">
        <v>99.9</v>
      </c>
      <c r="J236" s="31" t="n">
        <v>52</v>
      </c>
      <c r="K236" s="31" t="n">
        <f aca="false">H236*I236</f>
        <v>599.4</v>
      </c>
      <c r="L236" s="31" t="n">
        <f aca="false">H236*J236</f>
        <v>312</v>
      </c>
      <c r="M236" s="31" t="n">
        <f aca="false">K236-L236</f>
        <v>287.4</v>
      </c>
      <c r="N236" s="28" t="n">
        <f aca="false">MONTH(B236)</f>
        <v>6</v>
      </c>
    </row>
    <row r="237" customFormat="false" ht="15" hidden="false" customHeight="false" outlineLevel="0" collapsed="false">
      <c r="A237" s="32" t="n">
        <v>1236</v>
      </c>
      <c r="B237" s="33" t="n">
        <v>46027</v>
      </c>
      <c r="C237" s="34" t="s">
        <v>109</v>
      </c>
      <c r="D237" s="34" t="s">
        <v>121</v>
      </c>
      <c r="E237" s="34" t="s">
        <v>126</v>
      </c>
      <c r="F237" s="34" t="s">
        <v>123</v>
      </c>
      <c r="G237" s="34" t="s">
        <v>107</v>
      </c>
      <c r="H237" s="32" t="n">
        <v>3</v>
      </c>
      <c r="I237" s="35" t="n">
        <v>79.9</v>
      </c>
      <c r="J237" s="35" t="n">
        <v>39</v>
      </c>
      <c r="K237" s="35" t="n">
        <f aca="false">H237*I237</f>
        <v>239.7</v>
      </c>
      <c r="L237" s="35" t="n">
        <f aca="false">H237*J237</f>
        <v>117</v>
      </c>
      <c r="M237" s="35" t="n">
        <f aca="false">K237-L237</f>
        <v>122.7</v>
      </c>
      <c r="N237" s="32" t="n">
        <f aca="false">MONTH(B237)</f>
        <v>1</v>
      </c>
    </row>
    <row r="238" customFormat="false" ht="15" hidden="false" customHeight="false" outlineLevel="0" collapsed="false">
      <c r="A238" s="28" t="n">
        <v>1237</v>
      </c>
      <c r="B238" s="29" t="n">
        <v>46058</v>
      </c>
      <c r="C238" s="30" t="s">
        <v>98</v>
      </c>
      <c r="D238" s="30" t="s">
        <v>99</v>
      </c>
      <c r="E238" s="30" t="s">
        <v>100</v>
      </c>
      <c r="F238" s="30" t="s">
        <v>117</v>
      </c>
      <c r="G238" s="30" t="s">
        <v>113</v>
      </c>
      <c r="H238" s="28" t="n">
        <v>5</v>
      </c>
      <c r="I238" s="31" t="n">
        <v>89.9</v>
      </c>
      <c r="J238" s="31" t="n">
        <v>41</v>
      </c>
      <c r="K238" s="31" t="n">
        <f aca="false">H238*I238</f>
        <v>449.5</v>
      </c>
      <c r="L238" s="31" t="n">
        <f aca="false">H238*J238</f>
        <v>205</v>
      </c>
      <c r="M238" s="31" t="n">
        <f aca="false">K238-L238</f>
        <v>244.5</v>
      </c>
      <c r="N238" s="28" t="n">
        <f aca="false">MONTH(B238)</f>
        <v>2</v>
      </c>
    </row>
    <row r="239" customFormat="false" ht="15" hidden="false" customHeight="false" outlineLevel="0" collapsed="false">
      <c r="A239" s="32" t="n">
        <v>1238</v>
      </c>
      <c r="B239" s="33" t="n">
        <v>46157</v>
      </c>
      <c r="C239" s="34" t="s">
        <v>98</v>
      </c>
      <c r="D239" s="34" t="s">
        <v>99</v>
      </c>
      <c r="E239" s="34" t="s">
        <v>118</v>
      </c>
      <c r="F239" s="34" t="s">
        <v>117</v>
      </c>
      <c r="G239" s="34" t="s">
        <v>107</v>
      </c>
      <c r="H239" s="32" t="n">
        <v>2</v>
      </c>
      <c r="I239" s="35" t="n">
        <v>159.9</v>
      </c>
      <c r="J239" s="35" t="n">
        <v>86</v>
      </c>
      <c r="K239" s="35" t="n">
        <f aca="false">H239*I239</f>
        <v>319.8</v>
      </c>
      <c r="L239" s="35" t="n">
        <f aca="false">H239*J239</f>
        <v>172</v>
      </c>
      <c r="M239" s="35" t="n">
        <f aca="false">K239-L239</f>
        <v>147.8</v>
      </c>
      <c r="N239" s="32" t="n">
        <f aca="false">MONTH(B239)</f>
        <v>5</v>
      </c>
    </row>
    <row r="240" customFormat="false" ht="15" hidden="false" customHeight="false" outlineLevel="0" collapsed="false">
      <c r="A240" s="28" t="n">
        <v>1239</v>
      </c>
      <c r="B240" s="29" t="n">
        <v>46064</v>
      </c>
      <c r="C240" s="30" t="s">
        <v>98</v>
      </c>
      <c r="D240" s="30" t="s">
        <v>121</v>
      </c>
      <c r="E240" s="30" t="s">
        <v>122</v>
      </c>
      <c r="F240" s="30" t="s">
        <v>106</v>
      </c>
      <c r="G240" s="30" t="s">
        <v>107</v>
      </c>
      <c r="H240" s="28" t="n">
        <v>4</v>
      </c>
      <c r="I240" s="31" t="n">
        <v>199.9</v>
      </c>
      <c r="J240" s="31" t="n">
        <v>118</v>
      </c>
      <c r="K240" s="31" t="n">
        <f aca="false">H240*I240</f>
        <v>799.6</v>
      </c>
      <c r="L240" s="31" t="n">
        <f aca="false">H240*J240</f>
        <v>472</v>
      </c>
      <c r="M240" s="31" t="n">
        <f aca="false">K240-L240</f>
        <v>327.6</v>
      </c>
      <c r="N240" s="28" t="n">
        <f aca="false">MONTH(B240)</f>
        <v>2</v>
      </c>
    </row>
    <row r="241" customFormat="false" ht="15" hidden="false" customHeight="false" outlineLevel="0" collapsed="false">
      <c r="A241" s="32" t="n">
        <v>1240</v>
      </c>
      <c r="B241" s="33" t="n">
        <v>46196</v>
      </c>
      <c r="C241" s="34" t="s">
        <v>103</v>
      </c>
      <c r="D241" s="34" t="s">
        <v>110</v>
      </c>
      <c r="E241" s="34" t="s">
        <v>111</v>
      </c>
      <c r="F241" s="34" t="s">
        <v>108</v>
      </c>
      <c r="G241" s="34" t="s">
        <v>102</v>
      </c>
      <c r="H241" s="32" t="n">
        <v>3</v>
      </c>
      <c r="I241" s="35" t="n">
        <v>129.9</v>
      </c>
      <c r="J241" s="35" t="n">
        <v>61</v>
      </c>
      <c r="K241" s="35" t="n">
        <f aca="false">H241*I241</f>
        <v>389.7</v>
      </c>
      <c r="L241" s="35" t="n">
        <f aca="false">H241*J241</f>
        <v>183</v>
      </c>
      <c r="M241" s="35" t="n">
        <f aca="false">K241-L241</f>
        <v>206.7</v>
      </c>
      <c r="N241" s="32" t="n">
        <f aca="false">MONTH(B241)</f>
        <v>6</v>
      </c>
    </row>
  </sheetData>
  <autoFilter ref="A1:N24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true"/>
  </sheetPr>
  <dimension ref="A1:E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36" t="s">
        <v>127</v>
      </c>
      <c r="B1" s="37"/>
      <c r="C1" s="37"/>
      <c r="D1" s="37"/>
      <c r="E1" s="37"/>
    </row>
    <row r="2" customFormat="false" ht="15" hidden="false" customHeight="false" outlineLevel="0" collapsed="false">
      <c r="A2" s="38" t="s">
        <v>128</v>
      </c>
      <c r="B2" s="37"/>
      <c r="C2" s="37"/>
      <c r="D2" s="37"/>
      <c r="E2" s="37"/>
    </row>
    <row r="3" customFormat="false" ht="15" hidden="false" customHeight="false" outlineLevel="0" collapsed="false">
      <c r="A3" s="39" t="s">
        <v>129</v>
      </c>
      <c r="B3" s="37"/>
      <c r="C3" s="37"/>
      <c r="D3" s="37"/>
      <c r="E3" s="37"/>
    </row>
    <row r="4" customFormat="false" ht="15" hidden="false" customHeight="false" outlineLevel="0" collapsed="false">
      <c r="A4" s="30" t="s">
        <v>72</v>
      </c>
      <c r="B4" s="30" t="str">
        <f aca="false">IF(Dashboard!$B$5="Todos","*",Dashboard!$B$5)</f>
        <v>*</v>
      </c>
      <c r="C4" s="37"/>
      <c r="D4" s="37"/>
      <c r="E4" s="37"/>
    </row>
    <row r="5" customFormat="false" ht="15" hidden="false" customHeight="false" outlineLevel="0" collapsed="false">
      <c r="A5" s="30" t="s">
        <v>91</v>
      </c>
      <c r="B5" s="30" t="str">
        <f aca="false">IF(Dashboard!$D$5="Todos","*",Dashboard!$D$5)</f>
        <v>*</v>
      </c>
      <c r="C5" s="37"/>
      <c r="D5" s="37"/>
      <c r="E5" s="37"/>
    </row>
    <row r="6" customFormat="false" ht="15" hidden="false" customHeight="false" outlineLevel="0" collapsed="false">
      <c r="A6" s="30" t="s">
        <v>78</v>
      </c>
      <c r="B6" s="30" t="str">
        <f aca="false">IF(Dashboard!$F$5="Todos","*",Dashboard!$F$5)</f>
        <v>*</v>
      </c>
      <c r="C6" s="37"/>
      <c r="D6" s="37"/>
      <c r="E6" s="37"/>
    </row>
    <row r="7" customFormat="false" ht="15" hidden="false" customHeight="false" outlineLevel="0" collapsed="false">
      <c r="A7" s="37"/>
      <c r="B7" s="37"/>
      <c r="C7" s="37"/>
      <c r="D7" s="37"/>
      <c r="E7" s="37"/>
    </row>
    <row r="8" customFormat="false" ht="15" hidden="false" customHeight="false" outlineLevel="0" collapsed="false">
      <c r="A8" s="39" t="s">
        <v>130</v>
      </c>
      <c r="B8" s="37"/>
      <c r="C8" s="37"/>
      <c r="D8" s="37"/>
      <c r="E8" s="37"/>
    </row>
    <row r="9" customFormat="false" ht="15" hidden="false" customHeight="false" outlineLevel="0" collapsed="false">
      <c r="A9" s="40" t="s">
        <v>131</v>
      </c>
      <c r="B9" s="40" t="s">
        <v>132</v>
      </c>
      <c r="C9" s="40" t="s">
        <v>55</v>
      </c>
      <c r="D9" s="40" t="s">
        <v>59</v>
      </c>
      <c r="E9" s="40" t="s">
        <v>63</v>
      </c>
    </row>
    <row r="10" customFormat="false" ht="15" hidden="false" customHeight="false" outlineLevel="0" collapsed="false">
      <c r="A10" s="37" t="s">
        <v>133</v>
      </c>
      <c r="B10" s="37" t="n">
        <v>1</v>
      </c>
      <c r="C10" s="41" t="n">
        <f aca="false">SUMIFS(Base_Vendas!$K$2:$K$241,Base_Vendas!$N$2:$N$241,$B10,Base_Vendas!$C$2:$C$241,$B$4,Base_Vendas!$D$2:$D$241,$B$5,Base_Vendas!$G$2:$G$241,$B$6)</f>
        <v>25349.4</v>
      </c>
      <c r="D10" s="41" t="n">
        <f aca="false">SUMIFS(Base_Vendas!$M$2:$M$241,Base_Vendas!$N$2:$N$241,$B10,Base_Vendas!$C$2:$C$241,$B$4,Base_Vendas!$D$2:$D$241,$B$5,Base_Vendas!$G$2:$G$241,$B$6)</f>
        <v>11797.4</v>
      </c>
      <c r="E10" s="37" t="n">
        <f aca="false">COUNTIFS(Base_Vendas!$N$2:$N$241,$B10,Base_Vendas!$C$2:$C$241,$B$4,Base_Vendas!$D$2:$D$241,$B$5,Base_Vendas!$G$2:$G$241,$B$6)</f>
        <v>48</v>
      </c>
    </row>
    <row r="11" customFormat="false" ht="15" hidden="false" customHeight="false" outlineLevel="0" collapsed="false">
      <c r="A11" s="37" t="s">
        <v>134</v>
      </c>
      <c r="B11" s="37" t="n">
        <v>2</v>
      </c>
      <c r="C11" s="41" t="n">
        <f aca="false">SUMIFS(Base_Vendas!$K$2:$K$241,Base_Vendas!$N$2:$N$241,$B11,Base_Vendas!$C$2:$C$241,$B$4,Base_Vendas!$D$2:$D$241,$B$5,Base_Vendas!$G$2:$G$241,$B$6)</f>
        <v>12409.4</v>
      </c>
      <c r="D11" s="41" t="n">
        <f aca="false">SUMIFS(Base_Vendas!$M$2:$M$241,Base_Vendas!$N$2:$N$241,$B11,Base_Vendas!$C$2:$C$241,$B$4,Base_Vendas!$D$2:$D$241,$B$5,Base_Vendas!$G$2:$G$241,$B$6)</f>
        <v>5987.4</v>
      </c>
      <c r="E11" s="37" t="n">
        <f aca="false">COUNTIFS(Base_Vendas!$N$2:$N$241,$B11,Base_Vendas!$C$2:$C$241,$B$4,Base_Vendas!$D$2:$D$241,$B$5,Base_Vendas!$G$2:$G$241,$B$6)</f>
        <v>30</v>
      </c>
    </row>
    <row r="12" customFormat="false" ht="15" hidden="false" customHeight="false" outlineLevel="0" collapsed="false">
      <c r="A12" s="37" t="s">
        <v>135</v>
      </c>
      <c r="B12" s="37" t="n">
        <v>3</v>
      </c>
      <c r="C12" s="41" t="n">
        <f aca="false">SUMIFS(Base_Vendas!$K$2:$K$241,Base_Vendas!$N$2:$N$241,$B12,Base_Vendas!$C$2:$C$241,$B$4,Base_Vendas!$D$2:$D$241,$B$5,Base_Vendas!$G$2:$G$241,$B$6)</f>
        <v>17315.2</v>
      </c>
      <c r="D12" s="41" t="n">
        <f aca="false">SUMIFS(Base_Vendas!$M$2:$M$241,Base_Vendas!$N$2:$N$241,$B12,Base_Vendas!$C$2:$C$241,$B$4,Base_Vendas!$D$2:$D$241,$B$5,Base_Vendas!$G$2:$G$241,$B$6)</f>
        <v>8360.2</v>
      </c>
      <c r="E12" s="37" t="n">
        <f aca="false">COUNTIFS(Base_Vendas!$N$2:$N$241,$B12,Base_Vendas!$C$2:$C$241,$B$4,Base_Vendas!$D$2:$D$241,$B$5,Base_Vendas!$G$2:$G$241,$B$6)</f>
        <v>37</v>
      </c>
    </row>
    <row r="13" customFormat="false" ht="15" hidden="false" customHeight="false" outlineLevel="0" collapsed="false">
      <c r="A13" s="37" t="s">
        <v>136</v>
      </c>
      <c r="B13" s="37" t="n">
        <v>4</v>
      </c>
      <c r="C13" s="41" t="n">
        <f aca="false">SUMIFS(Base_Vendas!$K$2:$K$241,Base_Vendas!$N$2:$N$241,$B13,Base_Vendas!$C$2:$C$241,$B$4,Base_Vendas!$D$2:$D$241,$B$5,Base_Vendas!$G$2:$G$241,$B$6)</f>
        <v>21183.5</v>
      </c>
      <c r="D13" s="41" t="n">
        <f aca="false">SUMIFS(Base_Vendas!$M$2:$M$241,Base_Vendas!$N$2:$N$241,$B13,Base_Vendas!$C$2:$C$241,$B$4,Base_Vendas!$D$2:$D$241,$B$5,Base_Vendas!$G$2:$G$241,$B$6)</f>
        <v>9699.5</v>
      </c>
      <c r="E13" s="37" t="n">
        <f aca="false">COUNTIFS(Base_Vendas!$N$2:$N$241,$B13,Base_Vendas!$C$2:$C$241,$B$4,Base_Vendas!$D$2:$D$241,$B$5,Base_Vendas!$G$2:$G$241,$B$6)</f>
        <v>41</v>
      </c>
    </row>
    <row r="14" customFormat="false" ht="15" hidden="false" customHeight="false" outlineLevel="0" collapsed="false">
      <c r="A14" s="37" t="s">
        <v>137</v>
      </c>
      <c r="B14" s="37" t="n">
        <v>5</v>
      </c>
      <c r="C14" s="41" t="n">
        <f aca="false">SUMIFS(Base_Vendas!$K$2:$K$241,Base_Vendas!$N$2:$N$241,$B14,Base_Vendas!$C$2:$C$241,$B$4,Base_Vendas!$D$2:$D$241,$B$5,Base_Vendas!$G$2:$G$241,$B$6)</f>
        <v>22073.1</v>
      </c>
      <c r="D14" s="41" t="n">
        <f aca="false">SUMIFS(Base_Vendas!$M$2:$M$241,Base_Vendas!$N$2:$N$241,$B14,Base_Vendas!$C$2:$C$241,$B$4,Base_Vendas!$D$2:$D$241,$B$5,Base_Vendas!$G$2:$G$241,$B$6)</f>
        <v>9920.1</v>
      </c>
      <c r="E14" s="37" t="n">
        <f aca="false">COUNTIFS(Base_Vendas!$N$2:$N$241,$B14,Base_Vendas!$C$2:$C$241,$B$4,Base_Vendas!$D$2:$D$241,$B$5,Base_Vendas!$G$2:$G$241,$B$6)</f>
        <v>38</v>
      </c>
    </row>
    <row r="15" customFormat="false" ht="15" hidden="false" customHeight="false" outlineLevel="0" collapsed="false">
      <c r="A15" s="37" t="s">
        <v>138</v>
      </c>
      <c r="B15" s="37" t="n">
        <v>6</v>
      </c>
      <c r="C15" s="41" t="n">
        <f aca="false">SUMIFS(Base_Vendas!$K$2:$K$241,Base_Vendas!$N$2:$N$241,$B15,Base_Vendas!$C$2:$C$241,$B$4,Base_Vendas!$D$2:$D$241,$B$5,Base_Vendas!$G$2:$G$241,$B$6)</f>
        <v>27510.4</v>
      </c>
      <c r="D15" s="41" t="n">
        <f aca="false">SUMIFS(Base_Vendas!$M$2:$M$241,Base_Vendas!$N$2:$N$241,$B15,Base_Vendas!$C$2:$C$241,$B$4,Base_Vendas!$D$2:$D$241,$B$5,Base_Vendas!$G$2:$G$241,$B$6)</f>
        <v>12418.4</v>
      </c>
      <c r="E15" s="37" t="n">
        <f aca="false">COUNTIFS(Base_Vendas!$N$2:$N$241,$B15,Base_Vendas!$C$2:$C$241,$B$4,Base_Vendas!$D$2:$D$241,$B$5,Base_Vendas!$G$2:$G$241,$B$6)</f>
        <v>46</v>
      </c>
    </row>
    <row r="16" customFormat="false" ht="15" hidden="false" customHeight="false" outlineLevel="0" collapsed="false">
      <c r="A16" s="37"/>
      <c r="B16" s="37"/>
      <c r="C16" s="37"/>
      <c r="D16" s="37"/>
      <c r="E16" s="37"/>
    </row>
    <row r="17" customFormat="false" ht="15" hidden="false" customHeight="false" outlineLevel="0" collapsed="false">
      <c r="A17" s="37"/>
      <c r="B17" s="37"/>
      <c r="C17" s="37"/>
      <c r="D17" s="37"/>
      <c r="E17" s="37"/>
    </row>
    <row r="18" customFormat="false" ht="15" hidden="false" customHeight="false" outlineLevel="0" collapsed="false">
      <c r="A18" s="39" t="s">
        <v>139</v>
      </c>
      <c r="B18" s="37"/>
      <c r="C18" s="37"/>
      <c r="D18" s="37"/>
      <c r="E18" s="37"/>
    </row>
    <row r="19" customFormat="false" ht="15" hidden="false" customHeight="false" outlineLevel="0" collapsed="false">
      <c r="A19" s="40" t="s">
        <v>72</v>
      </c>
      <c r="B19" s="40" t="s">
        <v>55</v>
      </c>
      <c r="C19" s="37"/>
      <c r="D19" s="37"/>
      <c r="E19" s="37"/>
    </row>
    <row r="20" customFormat="false" ht="15" hidden="false" customHeight="false" outlineLevel="0" collapsed="false">
      <c r="A20" s="37" t="s">
        <v>98</v>
      </c>
      <c r="B20" s="41" t="n">
        <f aca="false">SUMIFS(Base_Vendas!$K$2:$K$241,Base_Vendas!$C$2:$C$241,$A20,Base_Vendas!$D$2:$D$241,$B$5,Base_Vendas!$G$2:$G$241,$B$6)</f>
        <v>33212.7</v>
      </c>
      <c r="C20" s="37"/>
      <c r="D20" s="37"/>
      <c r="E20" s="37"/>
    </row>
    <row r="21" customFormat="false" ht="15" hidden="false" customHeight="false" outlineLevel="0" collapsed="false">
      <c r="A21" s="37" t="s">
        <v>109</v>
      </c>
      <c r="B21" s="41" t="n">
        <f aca="false">SUMIFS(Base_Vendas!$K$2:$K$241,Base_Vendas!$C$2:$C$241,$A21,Base_Vendas!$D$2:$D$241,$B$5,Base_Vendas!$G$2:$G$241,$B$6)</f>
        <v>50921.6</v>
      </c>
      <c r="C21" s="37"/>
      <c r="D21" s="37"/>
      <c r="E21" s="37"/>
    </row>
    <row r="22" customFormat="false" ht="15" hidden="false" customHeight="false" outlineLevel="0" collapsed="false">
      <c r="A22" s="37" t="s">
        <v>103</v>
      </c>
      <c r="B22" s="41" t="n">
        <f aca="false">SUMIFS(Base_Vendas!$K$2:$K$241,Base_Vendas!$C$2:$C$241,$A22,Base_Vendas!$D$2:$D$241,$B$5,Base_Vendas!$G$2:$G$241,$B$6)</f>
        <v>20182.4</v>
      </c>
      <c r="C22" s="37"/>
      <c r="D22" s="37"/>
      <c r="E22" s="37"/>
    </row>
    <row r="23" customFormat="false" ht="15" hidden="false" customHeight="false" outlineLevel="0" collapsed="false">
      <c r="A23" s="37" t="s">
        <v>124</v>
      </c>
      <c r="B23" s="41" t="n">
        <f aca="false">SUMIFS(Base_Vendas!$K$2:$K$241,Base_Vendas!$C$2:$C$241,$A23,Base_Vendas!$D$2:$D$241,$B$5,Base_Vendas!$G$2:$G$241,$B$6)</f>
        <v>21524.3</v>
      </c>
      <c r="C23" s="37"/>
      <c r="D23" s="37"/>
      <c r="E23" s="37"/>
    </row>
    <row r="24" customFormat="false" ht="15" hidden="false" customHeight="false" outlineLevel="0" collapsed="false">
      <c r="A24" s="37"/>
      <c r="B24" s="37"/>
      <c r="C24" s="37"/>
      <c r="D24" s="37"/>
      <c r="E24" s="37"/>
    </row>
    <row r="25" customFormat="false" ht="15" hidden="false" customHeight="false" outlineLevel="0" collapsed="false">
      <c r="A25" s="37"/>
      <c r="B25" s="37"/>
      <c r="C25" s="37"/>
      <c r="D25" s="37"/>
      <c r="E25" s="37"/>
    </row>
    <row r="26" customFormat="false" ht="15" hidden="false" customHeight="false" outlineLevel="0" collapsed="false">
      <c r="A26" s="39" t="s">
        <v>140</v>
      </c>
      <c r="B26" s="37"/>
      <c r="C26" s="37"/>
      <c r="D26" s="37"/>
      <c r="E26" s="37"/>
    </row>
    <row r="27" customFormat="false" ht="15" hidden="false" customHeight="false" outlineLevel="0" collapsed="false">
      <c r="A27" s="40" t="s">
        <v>91</v>
      </c>
      <c r="B27" s="40" t="s">
        <v>55</v>
      </c>
      <c r="C27" s="40" t="s">
        <v>59</v>
      </c>
      <c r="D27" s="40" t="s">
        <v>61</v>
      </c>
      <c r="E27" s="37"/>
    </row>
    <row r="28" customFormat="false" ht="15" hidden="false" customHeight="false" outlineLevel="0" collapsed="false">
      <c r="A28" s="37" t="s">
        <v>104</v>
      </c>
      <c r="B28" s="42" t="n">
        <f aca="false">SUMIFS(Base_Vendas!$K$2:$K$241,Base_Vendas!$D$2:$D$241,$A28,Base_Vendas!$C$2:$C$241,$B$4,Base_Vendas!$G$2:$G$241,$B$6)</f>
        <v>54219.3</v>
      </c>
      <c r="C28" s="42" t="n">
        <f aca="false">SUMIFS(Base_Vendas!$M$2:$M$241,Base_Vendas!$D$2:$D$241,$A28,Base_Vendas!$C$2:$C$241,$B$4,Base_Vendas!$G$2:$G$241,$B$6)</f>
        <v>21979.3</v>
      </c>
      <c r="D28" s="43" t="n">
        <f aca="false">IFERROR(C28/B28,0)</f>
        <v>0.405377789827608</v>
      </c>
      <c r="E28" s="37"/>
    </row>
    <row r="29" customFormat="false" ht="15" hidden="false" customHeight="false" outlineLevel="0" collapsed="false">
      <c r="A29" s="37" t="s">
        <v>121</v>
      </c>
      <c r="B29" s="42" t="n">
        <f aca="false">SUMIFS(Base_Vendas!$K$2:$K$241,Base_Vendas!$D$2:$D$241,$A29,Base_Vendas!$C$2:$C$241,$B$4,Base_Vendas!$G$2:$G$241,$B$6)</f>
        <v>21130.8</v>
      </c>
      <c r="C29" s="42" t="n">
        <f aca="false">SUMIFS(Base_Vendas!$M$2:$M$241,Base_Vendas!$D$2:$D$241,$A29,Base_Vendas!$C$2:$C$241,$B$4,Base_Vendas!$G$2:$G$241,$B$6)</f>
        <v>9579.8</v>
      </c>
      <c r="D29" s="43" t="n">
        <f aca="false">IFERROR(C29/B29,0)</f>
        <v>0.453357184772938</v>
      </c>
      <c r="E29" s="37"/>
    </row>
    <row r="30" customFormat="false" ht="15" hidden="false" customHeight="false" outlineLevel="0" collapsed="false">
      <c r="A30" s="37" t="s">
        <v>99</v>
      </c>
      <c r="B30" s="42" t="n">
        <f aca="false">SUMIFS(Base_Vendas!$K$2:$K$241,Base_Vendas!$D$2:$D$241,$A30,Base_Vendas!$C$2:$C$241,$B$4,Base_Vendas!$G$2:$G$241,$B$6)</f>
        <v>30261.9</v>
      </c>
      <c r="C30" s="42" t="n">
        <f aca="false">SUMIFS(Base_Vendas!$M$2:$M$241,Base_Vendas!$D$2:$D$241,$A30,Base_Vendas!$C$2:$C$241,$B$4,Base_Vendas!$G$2:$G$241,$B$6)</f>
        <v>15464.9</v>
      </c>
      <c r="D30" s="43" t="n">
        <f aca="false">IFERROR(C30/B30,0)</f>
        <v>0.511035328251035</v>
      </c>
      <c r="E30" s="37"/>
    </row>
    <row r="31" customFormat="false" ht="15" hidden="false" customHeight="false" outlineLevel="0" collapsed="false">
      <c r="A31" s="37" t="s">
        <v>110</v>
      </c>
      <c r="B31" s="42" t="n">
        <f aca="false">SUMIFS(Base_Vendas!$K$2:$K$241,Base_Vendas!$D$2:$D$241,$A31,Base_Vendas!$C$2:$C$241,$B$4,Base_Vendas!$G$2:$G$241,$B$6)</f>
        <v>20229</v>
      </c>
      <c r="C31" s="42" t="n">
        <f aca="false">SUMIFS(Base_Vendas!$M$2:$M$241,Base_Vendas!$D$2:$D$241,$A31,Base_Vendas!$C$2:$C$241,$B$4,Base_Vendas!$G$2:$G$241,$B$6)</f>
        <v>11159</v>
      </c>
      <c r="D31" s="43" t="n">
        <f aca="false">IFERROR(C31/B31,0)</f>
        <v>0.551633793069356</v>
      </c>
      <c r="E31" s="37"/>
    </row>
    <row r="32" customFormat="false" ht="15" hidden="false" customHeight="false" outlineLevel="0" collapsed="false">
      <c r="A32" s="37"/>
      <c r="B32" s="37"/>
      <c r="C32" s="37"/>
      <c r="D32" s="37"/>
      <c r="E32" s="37"/>
    </row>
    <row r="33" customFormat="false" ht="15" hidden="false" customHeight="false" outlineLevel="0" collapsed="false">
      <c r="A33" s="37"/>
      <c r="B33" s="37"/>
      <c r="C33" s="37"/>
      <c r="D33" s="37"/>
      <c r="E33" s="37"/>
    </row>
    <row r="34" customFormat="false" ht="15" hidden="false" customHeight="false" outlineLevel="0" collapsed="false">
      <c r="A34" s="39" t="s">
        <v>141</v>
      </c>
      <c r="B34" s="37"/>
      <c r="C34" s="37"/>
      <c r="D34" s="37"/>
      <c r="E34" s="37"/>
    </row>
    <row r="35" customFormat="false" ht="15" hidden="false" customHeight="false" outlineLevel="0" collapsed="false">
      <c r="A35" s="40" t="s">
        <v>78</v>
      </c>
      <c r="B35" s="40" t="s">
        <v>55</v>
      </c>
      <c r="C35" s="37"/>
      <c r="D35" s="37"/>
      <c r="E35" s="37"/>
    </row>
    <row r="36" customFormat="false" ht="15" hidden="false" customHeight="false" outlineLevel="0" collapsed="false">
      <c r="A36" s="37" t="s">
        <v>107</v>
      </c>
      <c r="B36" s="41" t="n">
        <f aca="false">SUMIFS(Base_Vendas!$K$2:$K$241,Base_Vendas!$G$2:$G$241,$A36,Base_Vendas!$C$2:$C$241,$B$4,Base_Vendas!$D$2:$D$241,$B$5)</f>
        <v>55734.6</v>
      </c>
      <c r="C36" s="37"/>
      <c r="D36" s="37"/>
      <c r="E36" s="37"/>
    </row>
    <row r="37" customFormat="false" ht="15" hidden="false" customHeight="false" outlineLevel="0" collapsed="false">
      <c r="A37" s="37" t="s">
        <v>102</v>
      </c>
      <c r="B37" s="41" t="n">
        <f aca="false">SUMIFS(Base_Vendas!$K$2:$K$241,Base_Vendas!$G$2:$G$241,$A37,Base_Vendas!$C$2:$C$241,$B$4,Base_Vendas!$D$2:$D$241,$B$5)</f>
        <v>39669.5</v>
      </c>
      <c r="C37" s="37"/>
      <c r="D37" s="37"/>
      <c r="E37" s="37"/>
    </row>
    <row r="38" customFormat="false" ht="15" hidden="false" customHeight="false" outlineLevel="0" collapsed="false">
      <c r="A38" s="37" t="s">
        <v>113</v>
      </c>
      <c r="B38" s="41" t="n">
        <f aca="false">SUMIFS(Base_Vendas!$K$2:$K$241,Base_Vendas!$G$2:$G$241,$A38,Base_Vendas!$C$2:$C$241,$B$4,Base_Vendas!$D$2:$D$241,$B$5)</f>
        <v>30436.9</v>
      </c>
      <c r="C38" s="37"/>
      <c r="D38" s="37"/>
      <c r="E38" s="37"/>
    </row>
    <row r="39" customFormat="false" ht="15" hidden="false" customHeight="false" outlineLevel="0" collapsed="false">
      <c r="A39" s="37"/>
      <c r="B39" s="37"/>
      <c r="C39" s="37"/>
      <c r="D39" s="37"/>
      <c r="E39" s="37"/>
    </row>
    <row r="40" customFormat="false" ht="15" hidden="false" customHeight="false" outlineLevel="0" collapsed="false">
      <c r="A40" s="39" t="s">
        <v>142</v>
      </c>
      <c r="B40" s="37"/>
      <c r="C40" s="37"/>
      <c r="D40" s="37"/>
      <c r="E40" s="37"/>
    </row>
    <row r="41" customFormat="false" ht="15" hidden="false" customHeight="false" outlineLevel="0" collapsed="false">
      <c r="A41" s="40" t="s">
        <v>92</v>
      </c>
      <c r="B41" s="40" t="s">
        <v>91</v>
      </c>
      <c r="C41" s="40" t="s">
        <v>55</v>
      </c>
      <c r="D41" s="40" t="s">
        <v>143</v>
      </c>
      <c r="E41" s="37"/>
    </row>
    <row r="42" customFormat="false" ht="15" hidden="false" customHeight="false" outlineLevel="0" collapsed="false">
      <c r="A42" s="37" t="s">
        <v>114</v>
      </c>
      <c r="B42" s="37" t="s">
        <v>110</v>
      </c>
      <c r="C42" s="42" t="n">
        <f aca="false">SUMIFS(Base_Vendas!$K$2:$K$241,Base_Vendas!$E$2:$E$241,$A42,Base_Vendas!$C$2:$C$241,$B$4,Base_Vendas!$D$2:$D$241,$B$5,Base_Vendas!$G$2:$G$241,$B$6)</f>
        <v>2793</v>
      </c>
      <c r="D42" s="44" t="n">
        <f aca="false">C42+ROW()/1000000</f>
        <v>2793.000042</v>
      </c>
      <c r="E42" s="37"/>
    </row>
    <row r="43" customFormat="false" ht="15" hidden="false" customHeight="false" outlineLevel="0" collapsed="false">
      <c r="A43" s="37" t="s">
        <v>122</v>
      </c>
      <c r="B43" s="37" t="s">
        <v>121</v>
      </c>
      <c r="C43" s="42" t="n">
        <f aca="false">SUMIFS(Base_Vendas!$K$2:$K$241,Base_Vendas!$E$2:$E$241,$A43,Base_Vendas!$C$2:$C$241,$B$4,Base_Vendas!$D$2:$D$241,$B$5,Base_Vendas!$G$2:$G$241,$B$6)</f>
        <v>12993.5</v>
      </c>
      <c r="D43" s="44" t="n">
        <f aca="false">C43+ROW()/1000000</f>
        <v>12993.500043</v>
      </c>
      <c r="E43" s="37"/>
    </row>
    <row r="44" customFormat="false" ht="15" hidden="false" customHeight="false" outlineLevel="0" collapsed="false">
      <c r="A44" s="37" t="s">
        <v>111</v>
      </c>
      <c r="B44" s="37" t="s">
        <v>110</v>
      </c>
      <c r="C44" s="42" t="n">
        <f aca="false">SUMIFS(Base_Vendas!$K$2:$K$241,Base_Vendas!$E$2:$E$241,$A44,Base_Vendas!$C$2:$C$241,$B$4,Base_Vendas!$D$2:$D$241,$B$5,Base_Vendas!$G$2:$G$241,$B$6)</f>
        <v>8443.5</v>
      </c>
      <c r="D44" s="44" t="n">
        <f aca="false">C44+ROW()/1000000</f>
        <v>8443.500044</v>
      </c>
      <c r="E44" s="37"/>
    </row>
    <row r="45" customFormat="false" ht="15" hidden="false" customHeight="false" outlineLevel="0" collapsed="false">
      <c r="A45" s="37" t="s">
        <v>120</v>
      </c>
      <c r="B45" s="37" t="s">
        <v>104</v>
      </c>
      <c r="C45" s="42" t="n">
        <f aca="false">SUMIFS(Base_Vendas!$K$2:$K$241,Base_Vendas!$E$2:$E$241,$A45,Base_Vendas!$C$2:$C$241,$B$4,Base_Vendas!$D$2:$D$241,$B$5,Base_Vendas!$G$2:$G$241,$B$6)</f>
        <v>9443.7</v>
      </c>
      <c r="D45" s="44" t="n">
        <f aca="false">C45+ROW()/1000000</f>
        <v>9443.700045</v>
      </c>
      <c r="E45" s="37"/>
    </row>
    <row r="46" customFormat="false" ht="15" hidden="false" customHeight="false" outlineLevel="0" collapsed="false">
      <c r="A46" s="37" t="s">
        <v>100</v>
      </c>
      <c r="B46" s="37" t="s">
        <v>99</v>
      </c>
      <c r="C46" s="42" t="n">
        <f aca="false">SUMIFS(Base_Vendas!$K$2:$K$241,Base_Vendas!$E$2:$E$241,$A46,Base_Vendas!$C$2:$C$241,$B$4,Base_Vendas!$D$2:$D$241,$B$5,Base_Vendas!$G$2:$G$241,$B$6)</f>
        <v>10518.3</v>
      </c>
      <c r="D46" s="44" t="n">
        <f aca="false">C46+ROW()/1000000</f>
        <v>10518.300046</v>
      </c>
      <c r="E46" s="37"/>
    </row>
    <row r="47" customFormat="false" ht="15" hidden="false" customHeight="false" outlineLevel="0" collapsed="false">
      <c r="A47" s="37" t="s">
        <v>112</v>
      </c>
      <c r="B47" s="37" t="s">
        <v>99</v>
      </c>
      <c r="C47" s="42" t="n">
        <f aca="false">SUMIFS(Base_Vendas!$K$2:$K$241,Base_Vendas!$E$2:$E$241,$A47,Base_Vendas!$C$2:$C$241,$B$4,Base_Vendas!$D$2:$D$241,$B$5,Base_Vendas!$G$2:$G$241,$B$6)</f>
        <v>5032.8</v>
      </c>
      <c r="D47" s="44" t="n">
        <f aca="false">C47+ROW()/1000000</f>
        <v>5032.800047</v>
      </c>
      <c r="E47" s="37"/>
    </row>
    <row r="48" customFormat="false" ht="15" hidden="false" customHeight="false" outlineLevel="0" collapsed="false">
      <c r="A48" s="37" t="s">
        <v>126</v>
      </c>
      <c r="B48" s="37" t="s">
        <v>121</v>
      </c>
      <c r="C48" s="42" t="n">
        <f aca="false">SUMIFS(Base_Vendas!$K$2:$K$241,Base_Vendas!$E$2:$E$241,$A48,Base_Vendas!$C$2:$C$241,$B$4,Base_Vendas!$D$2:$D$241,$B$5,Base_Vendas!$G$2:$G$241,$B$6)</f>
        <v>4794</v>
      </c>
      <c r="D48" s="44" t="n">
        <f aca="false">C48+ROW()/1000000</f>
        <v>4794.000048</v>
      </c>
      <c r="E48" s="37"/>
    </row>
    <row r="49" customFormat="false" ht="15" hidden="false" customHeight="false" outlineLevel="0" collapsed="false">
      <c r="A49" s="37" t="s">
        <v>118</v>
      </c>
      <c r="B49" s="37" t="s">
        <v>99</v>
      </c>
      <c r="C49" s="42" t="n">
        <f aca="false">SUMIFS(Base_Vendas!$K$2:$K$241,Base_Vendas!$E$2:$E$241,$A49,Base_Vendas!$C$2:$C$241,$B$4,Base_Vendas!$D$2:$D$241,$B$5,Base_Vendas!$G$2:$G$241,$B$6)</f>
        <v>14710.8</v>
      </c>
      <c r="D49" s="44" t="n">
        <f aca="false">C49+ROW()/1000000</f>
        <v>14710.800049</v>
      </c>
      <c r="E49" s="37"/>
    </row>
    <row r="50" customFormat="false" ht="15" hidden="false" customHeight="false" outlineLevel="0" collapsed="false">
      <c r="A50" s="37" t="s">
        <v>105</v>
      </c>
      <c r="B50" s="37" t="s">
        <v>104</v>
      </c>
      <c r="C50" s="42" t="n">
        <f aca="false">SUMIFS(Base_Vendas!$K$2:$K$241,Base_Vendas!$E$2:$E$241,$A50,Base_Vendas!$C$2:$C$241,$B$4,Base_Vendas!$D$2:$D$241,$B$5,Base_Vendas!$G$2:$G$241,$B$6)</f>
        <v>10789.2</v>
      </c>
      <c r="D50" s="44" t="n">
        <f aca="false">C50+ROW()/1000000</f>
        <v>10789.20005</v>
      </c>
      <c r="E50" s="37"/>
    </row>
    <row r="51" customFormat="false" ht="15" hidden="false" customHeight="false" outlineLevel="0" collapsed="false">
      <c r="A51" s="37" t="s">
        <v>125</v>
      </c>
      <c r="B51" s="37" t="s">
        <v>121</v>
      </c>
      <c r="C51" s="42" t="n">
        <f aca="false">SUMIFS(Base_Vendas!$K$2:$K$241,Base_Vendas!$E$2:$E$241,$A51,Base_Vendas!$C$2:$C$241,$B$4,Base_Vendas!$D$2:$D$241,$B$5,Base_Vendas!$G$2:$G$241,$B$6)</f>
        <v>3343.3</v>
      </c>
      <c r="D51" s="44" t="n">
        <f aca="false">C51+ROW()/1000000</f>
        <v>3343.300051</v>
      </c>
      <c r="E51" s="37"/>
    </row>
    <row r="52" customFormat="false" ht="15" hidden="false" customHeight="false" outlineLevel="0" collapsed="false">
      <c r="A52" s="37" t="s">
        <v>119</v>
      </c>
      <c r="B52" s="37" t="s">
        <v>110</v>
      </c>
      <c r="C52" s="42" t="n">
        <f aca="false">SUMIFS(Base_Vendas!$K$2:$K$241,Base_Vendas!$E$2:$E$241,$A52,Base_Vendas!$C$2:$C$241,$B$4,Base_Vendas!$D$2:$D$241,$B$5,Base_Vendas!$G$2:$G$241,$B$6)</f>
        <v>8992.5</v>
      </c>
      <c r="D52" s="44" t="n">
        <f aca="false">C52+ROW()/1000000</f>
        <v>8992.500052</v>
      </c>
      <c r="E52" s="37"/>
    </row>
    <row r="53" customFormat="false" ht="15" hidden="false" customHeight="false" outlineLevel="0" collapsed="false">
      <c r="A53" s="37" t="s">
        <v>116</v>
      </c>
      <c r="B53" s="37" t="s">
        <v>104</v>
      </c>
      <c r="C53" s="42" t="n">
        <f aca="false">SUMIFS(Base_Vendas!$K$2:$K$241,Base_Vendas!$E$2:$E$241,$A53,Base_Vendas!$C$2:$C$241,$B$4,Base_Vendas!$D$2:$D$241,$B$5,Base_Vendas!$G$2:$G$241,$B$6)</f>
        <v>33986.4</v>
      </c>
      <c r="D53" s="44" t="n">
        <f aca="false">C53+ROW()/1000000</f>
        <v>33986.400053</v>
      </c>
      <c r="E53" s="37"/>
    </row>
    <row r="54" customFormat="false" ht="15" hidden="false" customHeight="false" outlineLevel="0" collapsed="false">
      <c r="A54" s="37"/>
      <c r="B54" s="37"/>
      <c r="C54" s="37"/>
      <c r="D54" s="37"/>
      <c r="E54" s="37"/>
    </row>
    <row r="55" customFormat="false" ht="15" hidden="false" customHeight="false" outlineLevel="0" collapsed="false">
      <c r="A55" s="37"/>
      <c r="B55" s="37"/>
      <c r="C55" s="37"/>
      <c r="D55" s="37"/>
      <c r="E55" s="37"/>
    </row>
    <row r="56" customFormat="false" ht="15" hidden="false" customHeight="false" outlineLevel="0" collapsed="false">
      <c r="A56" s="39" t="s">
        <v>144</v>
      </c>
      <c r="B56" s="37"/>
      <c r="C56" s="37"/>
      <c r="D56" s="37"/>
      <c r="E56" s="37"/>
    </row>
    <row r="57" customFormat="false" ht="15" hidden="false" customHeight="false" outlineLevel="0" collapsed="false">
      <c r="A57" s="40" t="s">
        <v>145</v>
      </c>
      <c r="B57" s="40" t="s">
        <v>92</v>
      </c>
      <c r="C57" s="40" t="s">
        <v>55</v>
      </c>
      <c r="D57" s="37"/>
      <c r="E57" s="37"/>
    </row>
    <row r="58" customFormat="false" ht="15" hidden="false" customHeight="false" outlineLevel="0" collapsed="false">
      <c r="A58" s="37" t="n">
        <v>1</v>
      </c>
      <c r="B58" s="37" t="str">
        <f aca="false">IF(C58=0,"",INDEX($A$42:$A$53,MATCH(LARGE($D$42:$D$53,$A58),$D$42:$D$53,0)))</f>
        <v>Teclado Mecânico</v>
      </c>
      <c r="C58" s="41" t="n">
        <f aca="false">INDEX($C$42:$C$53,MATCH(LARGE($D$42:$D$53,$A58),$D$42:$D$53,0))</f>
        <v>33986.4</v>
      </c>
      <c r="D58" s="37"/>
      <c r="E58" s="37"/>
    </row>
    <row r="59" customFormat="false" ht="15" hidden="false" customHeight="false" outlineLevel="0" collapsed="false">
      <c r="A59" s="37" t="n">
        <v>2</v>
      </c>
      <c r="B59" s="37" t="str">
        <f aca="false">IF(C59=0,"",INDEX($A$42:$A$53,MATCH(LARGE($D$42:$D$53,$A59),$D$42:$D$53,0)))</f>
        <v>Mochila Esportiva</v>
      </c>
      <c r="C59" s="41" t="n">
        <f aca="false">INDEX($C$42:$C$53,MATCH(LARGE($D$42:$D$53,$A59),$D$42:$D$53,0))</f>
        <v>14710.8</v>
      </c>
      <c r="D59" s="37"/>
      <c r="E59" s="37"/>
    </row>
    <row r="60" customFormat="false" ht="15" hidden="false" customHeight="false" outlineLevel="0" collapsed="false">
      <c r="A60" s="37" t="n">
        <v>3</v>
      </c>
      <c r="B60" s="37" t="str">
        <f aca="false">IF(C60=0,"",INDEX($A$42:$A$53,MATCH(LARGE($D$42:$D$53,$A60),$D$42:$D$53,0)))</f>
        <v>Cafeteira</v>
      </c>
      <c r="C60" s="41" t="n">
        <f aca="false">INDEX($C$42:$C$53,MATCH(LARGE($D$42:$D$53,$A60),$D$42:$D$53,0))</f>
        <v>12993.5</v>
      </c>
      <c r="D60" s="37"/>
      <c r="E60" s="37"/>
    </row>
    <row r="61" customFormat="false" ht="15" hidden="false" customHeight="false" outlineLevel="0" collapsed="false">
      <c r="A61" s="37" t="n">
        <v>4</v>
      </c>
      <c r="B61" s="37" t="str">
        <f aca="false">IF(C61=0,"",INDEX($A$42:$A$53,MATCH(LARGE($D$42:$D$53,$A61),$D$42:$D$53,0)))</f>
        <v>Mouse Wireless</v>
      </c>
      <c r="C61" s="41" t="n">
        <f aca="false">INDEX($C$42:$C$53,MATCH(LARGE($D$42:$D$53,$A61),$D$42:$D$53,0))</f>
        <v>10789.2</v>
      </c>
      <c r="D61" s="37"/>
      <c r="E61" s="37"/>
    </row>
    <row r="62" customFormat="false" ht="15" hidden="false" customHeight="false" outlineLevel="0" collapsed="false">
      <c r="A62" s="37" t="n">
        <v>5</v>
      </c>
      <c r="B62" s="37" t="str">
        <f aca="false">IF(C62=0,"",INDEX($A$42:$A$53,MATCH(LARGE($D$42:$D$53,$A62),$D$42:$D$53,0)))</f>
        <v>Garrafa Térmica</v>
      </c>
      <c r="C62" s="41" t="n">
        <f aca="false">INDEX($C$42:$C$53,MATCH(LARGE($D$42:$D$53,$A62),$D$42:$D$53,0))</f>
        <v>10518.3</v>
      </c>
      <c r="D62" s="37"/>
      <c r="E62" s="37"/>
    </row>
    <row r="63" customFormat="false" ht="15" hidden="false" customHeight="false" outlineLevel="0" collapsed="false">
      <c r="A63" s="37"/>
      <c r="B63" s="37"/>
      <c r="C63" s="37"/>
      <c r="D63" s="37"/>
      <c r="E63" s="37"/>
    </row>
    <row r="64" customFormat="false" ht="15" hidden="false" customHeight="false" outlineLevel="0" collapsed="false">
      <c r="A64" s="37"/>
      <c r="B64" s="37"/>
      <c r="C64" s="37"/>
      <c r="D64" s="37"/>
      <c r="E64" s="37"/>
    </row>
    <row r="65" customFormat="false" ht="15" hidden="false" customHeight="false" outlineLevel="0" collapsed="false">
      <c r="A65" s="39" t="s">
        <v>146</v>
      </c>
      <c r="B65" s="37"/>
      <c r="C65" s="37"/>
      <c r="D65" s="37"/>
      <c r="E65" s="37"/>
    </row>
    <row r="66" customFormat="false" ht="15" hidden="false" customHeight="false" outlineLevel="0" collapsed="false">
      <c r="A66" s="40" t="s">
        <v>147</v>
      </c>
      <c r="B66" s="40" t="s">
        <v>148</v>
      </c>
      <c r="C66" s="40" t="s">
        <v>149</v>
      </c>
      <c r="D66" s="37"/>
      <c r="E66" s="37"/>
    </row>
    <row r="67" customFormat="false" ht="15" hidden="false" customHeight="false" outlineLevel="0" collapsed="false">
      <c r="A67" s="37" t="s">
        <v>150</v>
      </c>
      <c r="B67" s="37" t="str">
        <f aca="false">IF(MAX(C10:C15)=0,"-",INDEX(A10:A15,MATCH(MAX(C10:C15),C10:C15,0)))</f>
        <v>Jun</v>
      </c>
      <c r="C67" s="42" t="n">
        <f aca="false">MAX(C10:C15)</f>
        <v>27510.4</v>
      </c>
      <c r="D67" s="37"/>
      <c r="E67" s="37"/>
    </row>
    <row r="68" customFormat="false" ht="15" hidden="false" customHeight="false" outlineLevel="0" collapsed="false">
      <c r="A68" s="37" t="s">
        <v>151</v>
      </c>
      <c r="B68" s="37" t="str">
        <f aca="false">IF(MAX(B20:B23)=0,"-",INDEX(A20:A23,MATCH(MAX(B20:B23),B20:B23,0)))</f>
        <v>Sudeste</v>
      </c>
      <c r="C68" s="42" t="n">
        <f aca="false">MAX(B20:B23)</f>
        <v>50921.6</v>
      </c>
      <c r="D68" s="37"/>
      <c r="E68" s="37"/>
    </row>
    <row r="69" customFormat="false" ht="15" hidden="false" customHeight="false" outlineLevel="0" collapsed="false">
      <c r="A69" s="37" t="s">
        <v>152</v>
      </c>
      <c r="B69" s="37" t="str">
        <f aca="false">IF(MAX(D28:D31)=0,"-",INDEX(A28:A31,MATCH(MAX(D28:D31),D28:D31,0)))</f>
        <v>Acessórios</v>
      </c>
      <c r="C69" s="43" t="n">
        <f aca="false">MAX(D28:D31)</f>
        <v>0.551633793069356</v>
      </c>
      <c r="D69" s="37"/>
      <c r="E69" s="37"/>
    </row>
    <row r="70" customFormat="false" ht="15" hidden="false" customHeight="false" outlineLevel="0" collapsed="false">
      <c r="A70" s="37" t="s">
        <v>153</v>
      </c>
      <c r="B70" s="37" t="str">
        <f aca="false">IF(B58="","-",B58)</f>
        <v>Teclado Mecânico</v>
      </c>
      <c r="C70" s="42" t="n">
        <f aca="false">C58</f>
        <v>33986.4</v>
      </c>
      <c r="D70" s="37"/>
      <c r="E70" s="37"/>
    </row>
    <row r="71" customFormat="false" ht="15" hidden="false" customHeight="false" outlineLevel="0" collapsed="false">
      <c r="A71" s="37" t="s">
        <v>154</v>
      </c>
      <c r="B71" s="37" t="str">
        <f aca="false">IF(MAX(B36:B38)=0,"-",INDEX(A36:A38,MATCH(MAX(B36:B38),B36:B38,0)))</f>
        <v>Loja Online</v>
      </c>
      <c r="C71" s="42" t="n">
        <f aca="false">MAX(B36:B38)</f>
        <v>55734.6</v>
      </c>
      <c r="D71" s="37"/>
      <c r="E71" s="37"/>
    </row>
    <row r="72" customFormat="false" ht="15" hidden="false" customHeight="false" outlineLevel="0" collapsed="false">
      <c r="A72" s="37"/>
      <c r="B72" s="37"/>
      <c r="C72" s="37"/>
      <c r="D72" s="37"/>
      <c r="E72" s="37"/>
    </row>
    <row r="73" customFormat="false" ht="15" hidden="false" customHeight="false" outlineLevel="0" collapsed="false">
      <c r="A73" s="39" t="s">
        <v>155</v>
      </c>
      <c r="B73" s="37"/>
      <c r="C73" s="37"/>
      <c r="D73" s="37"/>
      <c r="E73" s="37"/>
    </row>
    <row r="74" customFormat="false" ht="15" hidden="false" customHeight="false" outlineLevel="0" collapsed="false">
      <c r="A74" s="40" t="s">
        <v>156</v>
      </c>
      <c r="B74" s="40" t="s">
        <v>157</v>
      </c>
      <c r="C74" s="40" t="s">
        <v>158</v>
      </c>
      <c r="D74" s="40" t="s">
        <v>159</v>
      </c>
      <c r="E74" s="37"/>
    </row>
    <row r="75" customFormat="false" ht="15" hidden="false" customHeight="false" outlineLevel="0" collapsed="false">
      <c r="A75" s="37" t="s">
        <v>160</v>
      </c>
      <c r="B75" s="45" t="n">
        <f aca="false">Dashboard!B8</f>
        <v>125841</v>
      </c>
      <c r="C75" s="45" t="n">
        <f aca="false">SUM(C10:C15)</f>
        <v>125841</v>
      </c>
      <c r="D75" s="37" t="str">
        <f aca="false">IF(ABS(B75-C75)&lt;0.005,"OK","DIVERGÊNCIA")</f>
        <v>OK</v>
      </c>
      <c r="E75" s="37"/>
    </row>
    <row r="76" customFormat="false" ht="15" hidden="false" customHeight="false" outlineLevel="0" collapsed="false">
      <c r="A76" s="37" t="s">
        <v>161</v>
      </c>
      <c r="B76" s="45" t="n">
        <f aca="false">Dashboard!D8</f>
        <v>58183</v>
      </c>
      <c r="C76" s="45" t="n">
        <f aca="false">SUM(D10:D15)</f>
        <v>58183</v>
      </c>
      <c r="D76" s="37" t="str">
        <f aca="false">IF(ABS(B76-C76)&lt;0.005,"OK","DIVERGÊNCIA")</f>
        <v>OK</v>
      </c>
      <c r="E76" s="37"/>
    </row>
    <row r="77" customFormat="false" ht="15" hidden="false" customHeight="false" outlineLevel="0" collapsed="false">
      <c r="A77" s="37" t="s">
        <v>162</v>
      </c>
      <c r="B77" s="45" t="n">
        <f aca="false">Dashboard!H8</f>
        <v>240</v>
      </c>
      <c r="C77" s="45" t="n">
        <f aca="false">SUM(E10:E15)</f>
        <v>240</v>
      </c>
      <c r="D77" s="37" t="str">
        <f aca="false">IF(ABS(B77-C77)&lt;0.005,"OK","DIVERGÊNCIA")</f>
        <v>OK</v>
      </c>
      <c r="E77" s="37"/>
    </row>
    <row r="78" customFormat="false" ht="15" hidden="false" customHeight="false" outlineLevel="0" collapsed="false">
      <c r="A78" s="37"/>
      <c r="B78" s="37"/>
      <c r="C78" s="37"/>
      <c r="D78" s="37"/>
      <c r="E78" s="37"/>
    </row>
    <row r="79" customFormat="false" ht="15" hidden="false" customHeight="false" outlineLevel="0" collapsed="false">
      <c r="A79" s="37"/>
      <c r="B79" s="37"/>
      <c r="C79" s="37"/>
      <c r="D79" s="37"/>
      <c r="E79" s="37"/>
    </row>
    <row r="80" customFormat="false" ht="15" hidden="false" customHeight="false" outlineLevel="0" collapsed="false">
      <c r="A80" s="37"/>
      <c r="B80" s="37"/>
      <c r="C80" s="37"/>
      <c r="D80" s="37"/>
      <c r="E80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2026-10-01T05:26:34Z</dcterms:created>
  <dc:creator>openpyxl</dc:creator>
  <dc:description/>
  <dc:language>en-US</dc:language>
  <cp:lastModifiedBy/>
  <dcterms:modified xsi:type="dcterms:W3CDTF">2026-10-01T05:26:36Z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